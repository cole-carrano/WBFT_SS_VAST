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.carrano\Documents\BFT postdoc\WBFT\Statistics\WBFT_SS3_AltRuns\"/>
    </mc:Choice>
  </mc:AlternateContent>
  <xr:revisionPtr revIDLastSave="0" documentId="13_ncr:1_{E76BE060-1907-49B1-B6F3-DF12EFCEBCF3}" xr6:coauthVersionLast="47" xr6:coauthVersionMax="47" xr10:uidLastSave="{00000000-0000-0000-0000-000000000000}"/>
  <bookViews>
    <workbookView xWindow="28680" yWindow="30" windowWidth="29040" windowHeight="15720" activeTab="3" xr2:uid="{DA65AF8F-5B56-4CA4-8C57-5F01D4C0D33E}"/>
  </bookViews>
  <sheets>
    <sheet name="GoMex SST" sheetId="1" r:id="rId1"/>
    <sheet name="EBFT SSB" sheetId="2" r:id="rId2"/>
    <sheet name="figures &amp; tables" sheetId="3" r:id="rId3"/>
    <sheet name="Input Indic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3" l="1"/>
  <c r="P11" i="3"/>
  <c r="P12" i="3"/>
  <c r="P13" i="3"/>
  <c r="O13" i="3"/>
  <c r="O12" i="3"/>
  <c r="AG2" i="4"/>
  <c r="AG3" i="4"/>
  <c r="AG4" i="4"/>
  <c r="AG5" i="4"/>
  <c r="AG6" i="4"/>
  <c r="AG7" i="4"/>
  <c r="AG8" i="4"/>
  <c r="AH8" i="4"/>
  <c r="AG9" i="4"/>
  <c r="AH9" i="4"/>
  <c r="AF10" i="4"/>
  <c r="AG10" i="4"/>
  <c r="AH10" i="4"/>
  <c r="AF11" i="4"/>
  <c r="AG11" i="4"/>
  <c r="AH11" i="4"/>
  <c r="AF12" i="4"/>
  <c r="AG12" i="4"/>
  <c r="AH12" i="4"/>
  <c r="AF13" i="4"/>
  <c r="AG13" i="4"/>
  <c r="AH13" i="4"/>
  <c r="AF14" i="4"/>
  <c r="AG14" i="4"/>
  <c r="AH14" i="4"/>
  <c r="AF15" i="4"/>
  <c r="AG15" i="4"/>
  <c r="AH15" i="4"/>
  <c r="AF16" i="4"/>
  <c r="AG16" i="4"/>
  <c r="AH16" i="4"/>
  <c r="AI16" i="4"/>
  <c r="AJ16" i="4"/>
  <c r="AF17" i="4"/>
  <c r="AG17" i="4"/>
  <c r="AH17" i="4"/>
  <c r="AI17" i="4"/>
  <c r="AJ17" i="4"/>
  <c r="AF18" i="4"/>
  <c r="AG18" i="4"/>
  <c r="AH18" i="4"/>
  <c r="AI18" i="4"/>
  <c r="AJ18" i="4"/>
  <c r="AF19" i="4"/>
  <c r="AG19" i="4"/>
  <c r="AH19" i="4"/>
  <c r="AI19" i="4"/>
  <c r="AJ19" i="4"/>
  <c r="AF20" i="4"/>
  <c r="AG20" i="4"/>
  <c r="AH20" i="4"/>
  <c r="AI20" i="4"/>
  <c r="AJ20" i="4"/>
  <c r="AF21" i="4"/>
  <c r="AG21" i="4"/>
  <c r="AH21" i="4"/>
  <c r="AI21" i="4"/>
  <c r="AJ21" i="4"/>
  <c r="AF22" i="4"/>
  <c r="AG22" i="4"/>
  <c r="AH22" i="4"/>
  <c r="AI22" i="4"/>
  <c r="AJ22" i="4"/>
  <c r="AF23" i="4"/>
  <c r="AG23" i="4"/>
  <c r="AH23" i="4"/>
  <c r="AI23" i="4"/>
  <c r="AJ23" i="4"/>
  <c r="AF24" i="4"/>
  <c r="AG24" i="4"/>
  <c r="AH24" i="4"/>
  <c r="AI24" i="4"/>
  <c r="AJ24" i="4"/>
  <c r="AF25" i="4"/>
  <c r="AG25" i="4"/>
  <c r="AH25" i="4"/>
  <c r="AI25" i="4"/>
  <c r="AJ25" i="4"/>
  <c r="AF26" i="4"/>
  <c r="AG26" i="4"/>
  <c r="AH26" i="4"/>
  <c r="AI26" i="4"/>
  <c r="AJ26" i="4"/>
  <c r="AF27" i="4"/>
  <c r="AG27" i="4"/>
  <c r="AH27" i="4"/>
  <c r="AI27" i="4"/>
  <c r="AJ27" i="4"/>
  <c r="AF28" i="4"/>
  <c r="AG28" i="4"/>
  <c r="AH28" i="4"/>
  <c r="AI28" i="4"/>
  <c r="AJ28" i="4"/>
  <c r="AF29" i="4"/>
  <c r="AG29" i="4"/>
  <c r="AH29" i="4"/>
  <c r="AI29" i="4"/>
  <c r="AJ29" i="4"/>
  <c r="AF30" i="4"/>
  <c r="AG30" i="4"/>
  <c r="AH30" i="4"/>
  <c r="AI30" i="4"/>
  <c r="AJ30" i="4"/>
  <c r="AF31" i="4"/>
  <c r="AG31" i="4"/>
  <c r="AH31" i="4"/>
  <c r="AI31" i="4"/>
  <c r="AJ31" i="4"/>
  <c r="AF32" i="4"/>
  <c r="AG32" i="4"/>
  <c r="AI32" i="4"/>
  <c r="AJ32" i="4"/>
  <c r="AF33" i="4"/>
  <c r="AG33" i="4"/>
  <c r="AI33" i="4"/>
  <c r="AJ33" i="4"/>
  <c r="AF34" i="4"/>
  <c r="AG34" i="4"/>
  <c r="AI34" i="4"/>
  <c r="AJ34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T34" i="4"/>
  <c r="U34" i="4"/>
  <c r="V34" i="4"/>
  <c r="X34" i="4"/>
  <c r="Y34" i="4"/>
  <c r="V9" i="4"/>
  <c r="X17" i="4"/>
  <c r="V23" i="4"/>
  <c r="X31" i="4"/>
  <c r="N2" i="4"/>
  <c r="V2" i="4" s="1"/>
  <c r="N3" i="4"/>
  <c r="N4" i="4"/>
  <c r="V4" i="4" s="1"/>
  <c r="N5" i="4"/>
  <c r="N6" i="4"/>
  <c r="V5" i="4" s="1"/>
  <c r="N7" i="4"/>
  <c r="V7" i="4" s="1"/>
  <c r="N8" i="4"/>
  <c r="V8" i="4" s="1"/>
  <c r="O8" i="4"/>
  <c r="N9" i="4"/>
  <c r="V25" i="4" s="1"/>
  <c r="O9" i="4"/>
  <c r="W9" i="4" s="1"/>
  <c r="N10" i="4"/>
  <c r="V6" i="4" s="1"/>
  <c r="O10" i="4"/>
  <c r="W31" i="4" s="1"/>
  <c r="N11" i="4"/>
  <c r="O11" i="4"/>
  <c r="N12" i="4"/>
  <c r="V12" i="4" s="1"/>
  <c r="O12" i="4"/>
  <c r="W12" i="4" s="1"/>
  <c r="N13" i="4"/>
  <c r="V13" i="4" s="1"/>
  <c r="O13" i="4"/>
  <c r="N14" i="4"/>
  <c r="O14" i="4"/>
  <c r="N15" i="4"/>
  <c r="V15" i="4" s="1"/>
  <c r="O15" i="4"/>
  <c r="W15" i="4" s="1"/>
  <c r="N16" i="4"/>
  <c r="V16" i="4" s="1"/>
  <c r="O16" i="4"/>
  <c r="W16" i="4" s="1"/>
  <c r="P16" i="4"/>
  <c r="Q16" i="4"/>
  <c r="N17" i="4"/>
  <c r="O17" i="4"/>
  <c r="P17" i="4"/>
  <c r="Q17" i="4"/>
  <c r="Y17" i="4" s="1"/>
  <c r="N18" i="4"/>
  <c r="V18" i="4" s="1"/>
  <c r="O18" i="4"/>
  <c r="W18" i="4" s="1"/>
  <c r="P18" i="4"/>
  <c r="X18" i="4" s="1"/>
  <c r="Q18" i="4"/>
  <c r="Y18" i="4" s="1"/>
  <c r="N19" i="4"/>
  <c r="V19" i="4" s="1"/>
  <c r="O19" i="4"/>
  <c r="W19" i="4" s="1"/>
  <c r="P19" i="4"/>
  <c r="X19" i="4" s="1"/>
  <c r="Q19" i="4"/>
  <c r="Y19" i="4" s="1"/>
  <c r="N20" i="4"/>
  <c r="V20" i="4" s="1"/>
  <c r="O20" i="4"/>
  <c r="W20" i="4" s="1"/>
  <c r="P20" i="4"/>
  <c r="X20" i="4" s="1"/>
  <c r="Q20" i="4"/>
  <c r="Y20" i="4" s="1"/>
  <c r="N21" i="4"/>
  <c r="V21" i="4" s="1"/>
  <c r="O21" i="4"/>
  <c r="W21" i="4" s="1"/>
  <c r="P21" i="4"/>
  <c r="X21" i="4" s="1"/>
  <c r="Q21" i="4"/>
  <c r="N22" i="4"/>
  <c r="O22" i="4"/>
  <c r="P22" i="4"/>
  <c r="Q22" i="4"/>
  <c r="N23" i="4"/>
  <c r="O23" i="4"/>
  <c r="W23" i="4" s="1"/>
  <c r="P23" i="4"/>
  <c r="X23" i="4" s="1"/>
  <c r="Q23" i="4"/>
  <c r="Y23" i="4" s="1"/>
  <c r="N24" i="4"/>
  <c r="V24" i="4" s="1"/>
  <c r="O24" i="4"/>
  <c r="W24" i="4" s="1"/>
  <c r="P24" i="4"/>
  <c r="Q24" i="4"/>
  <c r="N25" i="4"/>
  <c r="O25" i="4"/>
  <c r="P25" i="4"/>
  <c r="Q25" i="4"/>
  <c r="N26" i="4"/>
  <c r="V26" i="4" s="1"/>
  <c r="O26" i="4"/>
  <c r="W26" i="4" s="1"/>
  <c r="P26" i="4"/>
  <c r="X26" i="4" s="1"/>
  <c r="Q26" i="4"/>
  <c r="Y26" i="4" s="1"/>
  <c r="N27" i="4"/>
  <c r="V27" i="4" s="1"/>
  <c r="O27" i="4"/>
  <c r="W27" i="4" s="1"/>
  <c r="P27" i="4"/>
  <c r="Q27" i="4"/>
  <c r="N28" i="4"/>
  <c r="O28" i="4"/>
  <c r="P28" i="4"/>
  <c r="Q28" i="4"/>
  <c r="N29" i="4"/>
  <c r="V29" i="4" s="1"/>
  <c r="O29" i="4"/>
  <c r="W29" i="4" s="1"/>
  <c r="P29" i="4"/>
  <c r="X29" i="4" s="1"/>
  <c r="Q29" i="4"/>
  <c r="Y29" i="4" s="1"/>
  <c r="N30" i="4"/>
  <c r="V30" i="4" s="1"/>
  <c r="O30" i="4"/>
  <c r="W30" i="4" s="1"/>
  <c r="P30" i="4"/>
  <c r="X30" i="4" s="1"/>
  <c r="Q30" i="4"/>
  <c r="Y30" i="4" s="1"/>
  <c r="N31" i="4"/>
  <c r="O31" i="4"/>
  <c r="P31" i="4"/>
  <c r="Q31" i="4"/>
  <c r="Y31" i="4" s="1"/>
  <c r="N32" i="4"/>
  <c r="V32" i="4" s="1"/>
  <c r="P32" i="4"/>
  <c r="X32" i="4" s="1"/>
  <c r="Q32" i="4"/>
  <c r="Y32" i="4" s="1"/>
  <c r="N33" i="4"/>
  <c r="V33" i="4" s="1"/>
  <c r="P33" i="4"/>
  <c r="Q33" i="4"/>
  <c r="N34" i="4"/>
  <c r="P34" i="4"/>
  <c r="Q34" i="4"/>
  <c r="M12" i="4"/>
  <c r="U11" i="4" s="1"/>
  <c r="M10" i="4"/>
  <c r="M11" i="4"/>
  <c r="M13" i="4"/>
  <c r="U13" i="4" s="1"/>
  <c r="M14" i="4"/>
  <c r="M15" i="4"/>
  <c r="U15" i="4" s="1"/>
  <c r="M16" i="4"/>
  <c r="U16" i="4" s="1"/>
  <c r="M17" i="4"/>
  <c r="M18" i="4"/>
  <c r="U18" i="4" s="1"/>
  <c r="M19" i="4"/>
  <c r="U19" i="4" s="1"/>
  <c r="M20" i="4"/>
  <c r="M21" i="4"/>
  <c r="U21" i="4" s="1"/>
  <c r="M22" i="4"/>
  <c r="U22" i="4" s="1"/>
  <c r="M23" i="4"/>
  <c r="U23" i="4" s="1"/>
  <c r="M24" i="4"/>
  <c r="U24" i="4" s="1"/>
  <c r="M25" i="4"/>
  <c r="M26" i="4"/>
  <c r="M27" i="4"/>
  <c r="U27" i="4" s="1"/>
  <c r="M28" i="4"/>
  <c r="M29" i="4"/>
  <c r="U29" i="4" s="1"/>
  <c r="M30" i="4"/>
  <c r="U30" i="4" s="1"/>
  <c r="M31" i="4"/>
  <c r="M32" i="4"/>
  <c r="U32" i="4" s="1"/>
  <c r="M33" i="4"/>
  <c r="U33" i="4" s="1"/>
  <c r="M34" i="4"/>
  <c r="L7" i="4"/>
  <c r="L8" i="4"/>
  <c r="T30" i="4" s="1"/>
  <c r="L9" i="4"/>
  <c r="T31" i="4" s="1"/>
  <c r="L10" i="4"/>
  <c r="T32" i="4" s="1"/>
  <c r="L11" i="4"/>
  <c r="L12" i="4"/>
  <c r="L13" i="4"/>
  <c r="L14" i="4"/>
  <c r="L15" i="4"/>
  <c r="L16" i="4"/>
  <c r="L17" i="4"/>
  <c r="L18" i="4"/>
  <c r="L19" i="4"/>
  <c r="T19" i="4" s="1"/>
  <c r="L20" i="4"/>
  <c r="T20" i="4" s="1"/>
  <c r="L21" i="4"/>
  <c r="T21" i="4" s="1"/>
  <c r="L22" i="4"/>
  <c r="T22" i="4" s="1"/>
  <c r="L23" i="4"/>
  <c r="T23" i="4" s="1"/>
  <c r="L24" i="4"/>
  <c r="T24" i="4" s="1"/>
  <c r="L25" i="4"/>
  <c r="L26" i="4"/>
  <c r="L27" i="4"/>
  <c r="L28" i="4"/>
  <c r="L29" i="4"/>
  <c r="L30" i="4"/>
  <c r="L31" i="4"/>
  <c r="L32" i="4"/>
  <c r="L33" i="4"/>
  <c r="T33" i="4" s="1"/>
  <c r="L34" i="4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T18" i="4" l="1"/>
  <c r="X28" i="4"/>
  <c r="T17" i="4"/>
  <c r="U26" i="4"/>
  <c r="T29" i="4"/>
  <c r="U28" i="4"/>
  <c r="W22" i="4"/>
  <c r="Y27" i="4"/>
  <c r="T26" i="4"/>
  <c r="T12" i="4"/>
  <c r="X27" i="4"/>
  <c r="Y24" i="4"/>
  <c r="Y25" i="4"/>
  <c r="W28" i="4"/>
  <c r="Y22" i="4"/>
  <c r="V14" i="4"/>
  <c r="T16" i="4"/>
  <c r="V17" i="4"/>
  <c r="T15" i="4"/>
  <c r="W11" i="4"/>
  <c r="X33" i="4"/>
  <c r="Y16" i="4"/>
  <c r="T27" i="4"/>
  <c r="V3" i="4"/>
  <c r="T10" i="4"/>
  <c r="W10" i="4"/>
  <c r="W17" i="4"/>
  <c r="V31" i="4"/>
  <c r="W14" i="4"/>
  <c r="Y33" i="4"/>
  <c r="X22" i="4"/>
  <c r="V11" i="4"/>
  <c r="T13" i="4"/>
  <c r="W13" i="4"/>
  <c r="T9" i="4"/>
  <c r="V10" i="4"/>
  <c r="V22" i="4"/>
  <c r="T8" i="4"/>
  <c r="U10" i="4"/>
  <c r="U20" i="4"/>
  <c r="V28" i="4"/>
  <c r="T14" i="4"/>
  <c r="W8" i="4"/>
  <c r="U25" i="4"/>
  <c r="X16" i="4"/>
  <c r="T7" i="4"/>
  <c r="U12" i="4"/>
  <c r="U31" i="4"/>
  <c r="U17" i="4"/>
  <c r="T28" i="4"/>
  <c r="U14" i="4"/>
  <c r="T11" i="4"/>
  <c r="Y21" i="4"/>
  <c r="Y28" i="4"/>
  <c r="X25" i="4"/>
  <c r="W25" i="4"/>
  <c r="T25" i="4"/>
  <c r="X24" i="4"/>
  <c r="I7" i="3" a="1"/>
  <c r="I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<sst xmlns="http://schemas.openxmlformats.org/spreadsheetml/2006/main" count="188" uniqueCount="107">
  <si>
    <t>i/1000000</t>
  </si>
  <si>
    <t>SS3 run 16 reweight(from assessment)</t>
  </si>
  <si>
    <t>year</t>
  </si>
  <si>
    <t>GoMex average SST</t>
  </si>
  <si>
    <t>“NOAA Physical Oceanograpgy Division (PhOD) of AOML and Atlantic OceanWatch (NESDIS)”.</t>
  </si>
  <si>
    <t>variable</t>
  </si>
  <si>
    <t>SSB</t>
  </si>
  <si>
    <t>VAST US only</t>
  </si>
  <si>
    <t>VAST Joint</t>
  </si>
  <si>
    <r>
      <t xml:space="preserve"> ρ</t>
    </r>
    <r>
      <rPr>
        <b/>
        <vertAlign val="subscript"/>
        <sz val="11"/>
        <color theme="1"/>
        <rFont val="Aptos Narrow"/>
        <family val="2"/>
        <scheme val="minor"/>
      </rPr>
      <t>SSB</t>
    </r>
  </si>
  <si>
    <r>
      <t>ρ</t>
    </r>
    <r>
      <rPr>
        <b/>
        <vertAlign val="subscript"/>
        <sz val="11"/>
        <color theme="1"/>
        <rFont val="Aptos Narrow"/>
        <family val="2"/>
        <scheme val="minor"/>
      </rPr>
      <t>F</t>
    </r>
  </si>
  <si>
    <r>
      <t>ρ</t>
    </r>
    <r>
      <rPr>
        <b/>
        <vertAlign val="subscript"/>
        <sz val="11"/>
        <color theme="1"/>
        <rFont val="Aptos Narrow"/>
        <family val="2"/>
        <scheme val="minor"/>
      </rPr>
      <t>Rec</t>
    </r>
  </si>
  <si>
    <t>Values of Mohn's rho (ρ) for spawning stock biomass (SSB), fishing mortality (F) and recruitment (Rec) from a retrospective analysis with 5 year peels</t>
  </si>
  <si>
    <t>F(10-20)</t>
  </si>
  <si>
    <t>summary of terminal year (2020) values for spawning stock biomass (SSB), fishing mortality (for ages 10-20; F(10-20)), and recruitment. Percentage change from original model is shown for the two VAST models</t>
  </si>
  <si>
    <t>VAST Joint (% change)</t>
  </si>
  <si>
    <t>rounded</t>
  </si>
  <si>
    <t>can</t>
  </si>
  <si>
    <t>us</t>
  </si>
  <si>
    <t>Canada</t>
  </si>
  <si>
    <t>USA</t>
  </si>
  <si>
    <t>Year</t>
  </si>
  <si>
    <t>total landings (numbers) used to construct VAST indices</t>
  </si>
  <si>
    <t>No Env.</t>
  </si>
  <si>
    <t>*</t>
  </si>
  <si>
    <t>run with -5 years for No env. Model did not converge</t>
  </si>
  <si>
    <t>gt177</t>
  </si>
  <si>
    <t>swns</t>
  </si>
  <si>
    <t>gsl</t>
  </si>
  <si>
    <t>acoustic</t>
  </si>
  <si>
    <t>Covariate</t>
  </si>
  <si>
    <t>gt177 orig</t>
  </si>
  <si>
    <t>SWNS orig</t>
  </si>
  <si>
    <t>orig</t>
  </si>
  <si>
    <t>no env</t>
  </si>
  <si>
    <t>Model Specifications</t>
  </si>
  <si>
    <t>“No Env.”</t>
  </si>
  <si>
    <t>“US_Only VAST”</t>
  </si>
  <si>
    <t>“Joint VAST”</t>
  </si>
  <si>
    <t>Indices</t>
  </si>
  <si>
    <t>US_RR_GT177</t>
  </si>
  <si>
    <t>ON</t>
  </si>
  <si>
    <t>Status</t>
  </si>
  <si>
    <t>Environmental Covariate</t>
  </si>
  <si>
    <t>Selectivity</t>
  </si>
  <si>
    <t>CAN_SWNS</t>
  </si>
  <si>
    <t>CAN_GSL</t>
  </si>
  <si>
    <t>CAN_Acoustic</t>
  </si>
  <si>
    <t>VAST US_only</t>
  </si>
  <si>
    <t>status</t>
  </si>
  <si>
    <t>selectivity</t>
  </si>
  <si>
    <t>environmental covariate</t>
  </si>
  <si>
    <t>OFF</t>
  </si>
  <si>
    <t>NONE</t>
  </si>
  <si>
    <t>Mirror US_PSFB</t>
  </si>
  <si>
    <t>I don’t think I need this table</t>
  </si>
  <si>
    <t>“Covariate"</t>
  </si>
  <si>
    <t>Root mean square error</t>
  </si>
  <si>
    <t>VAST US Only</t>
  </si>
  <si>
    <t>"No Env."</t>
  </si>
  <si>
    <t>"Covariate"</t>
  </si>
  <si>
    <t>Index Name</t>
  </si>
  <si>
    <t>VAST US_ONLY</t>
  </si>
  <si>
    <t>Index name</t>
  </si>
  <si>
    <t>Run 9 no env</t>
  </si>
  <si>
    <t>Orig (covariate)</t>
  </si>
  <si>
    <t>Run8 US only VAST</t>
  </si>
  <si>
    <t>Run 100 Joint VAST</t>
  </si>
  <si>
    <t>FAIL</t>
  </si>
  <si>
    <t>PASS</t>
  </si>
  <si>
    <t>VAST_US</t>
  </si>
  <si>
    <t>VAST_Joint</t>
  </si>
  <si>
    <t>Runs Test</t>
  </si>
  <si>
    <t>MASE</t>
  </si>
  <si>
    <t>MASE Score (predictive power)</t>
  </si>
  <si>
    <t>VAST  US_ONLY</t>
  </si>
  <si>
    <t>Root Mean Square Error (RMSE)</t>
  </si>
  <si>
    <t>IDX11_US_RR_GT177</t>
  </si>
  <si>
    <t>IDX14_CAN_SWNS</t>
  </si>
  <si>
    <t>IDX15_CAN_GSL</t>
  </si>
  <si>
    <t>IDX16_CAN_ACOUSTIC</t>
  </si>
  <si>
    <t>IDX20_VAST_Joint</t>
  </si>
  <si>
    <t>VAST US ONLY</t>
  </si>
  <si>
    <t>divided by smallest in series?</t>
  </si>
  <si>
    <t>zscore</t>
  </si>
  <si>
    <t>min max standardized</t>
  </si>
  <si>
    <t>scale to min of all data</t>
  </si>
  <si>
    <t>put VAST index on secondary y axis</t>
  </si>
  <si>
    <t>compare to second y axis plot</t>
  </si>
  <si>
    <t>US &gt;177 cm</t>
  </si>
  <si>
    <t>Joint US/CAN VAST</t>
  </si>
  <si>
    <t xml:space="preserve"> </t>
  </si>
  <si>
    <t>Rec (1000's)</t>
  </si>
  <si>
    <r>
      <t>38904.8 (</t>
    </r>
    <r>
      <rPr>
        <sz val="11"/>
        <color theme="9" tint="-0.249977111117893"/>
        <rFont val="Aptos Narrow"/>
        <family val="2"/>
        <scheme val="minor"/>
      </rPr>
      <t>+23%</t>
    </r>
    <r>
      <rPr>
        <sz val="11"/>
        <color theme="1"/>
        <rFont val="Aptos Narrow"/>
        <family val="2"/>
        <scheme val="minor"/>
      </rPr>
      <t>)</t>
    </r>
  </si>
  <si>
    <r>
      <t>0.0516722 (</t>
    </r>
    <r>
      <rPr>
        <sz val="11"/>
        <color rgb="FFC00000"/>
        <rFont val="Aptos Narrow"/>
        <family val="2"/>
        <scheme val="minor"/>
      </rPr>
      <t>-17%</t>
    </r>
    <r>
      <rPr>
        <sz val="11"/>
        <color theme="1"/>
        <rFont val="Aptos Narrow"/>
        <family val="2"/>
        <scheme val="minor"/>
      </rPr>
      <t>)</t>
    </r>
  </si>
  <si>
    <r>
      <t xml:space="preserve">Rec </t>
    </r>
    <r>
      <rPr>
        <sz val="8"/>
        <color theme="1"/>
        <rFont val="Aptos Narrow"/>
        <family val="2"/>
        <scheme val="minor"/>
      </rPr>
      <t>(1000's)</t>
    </r>
  </si>
  <si>
    <r>
      <t>367.537 (</t>
    </r>
    <r>
      <rPr>
        <sz val="11"/>
        <color theme="9" tint="-0.249977111117893"/>
        <rFont val="Aptos Narrow"/>
        <family val="2"/>
        <scheme val="minor"/>
      </rPr>
      <t>+11%</t>
    </r>
    <r>
      <rPr>
        <sz val="11"/>
        <color theme="1"/>
        <rFont val="Aptos Narrow"/>
        <family val="2"/>
        <scheme val="minor"/>
      </rPr>
      <t>)</t>
    </r>
  </si>
  <si>
    <t>31532.9 (0%)</t>
  </si>
  <si>
    <t>330.417 (0%)</t>
  </si>
  <si>
    <r>
      <t>0.0623874 (</t>
    </r>
    <r>
      <rPr>
        <sz val="11"/>
        <color theme="6"/>
        <rFont val="Aptos Narrow"/>
        <family val="2"/>
        <scheme val="minor"/>
      </rPr>
      <t>+1%</t>
    </r>
    <r>
      <rPr>
        <sz val="11"/>
        <color theme="1"/>
        <rFont val="Aptos Narrow"/>
        <family val="2"/>
        <scheme val="minor"/>
      </rPr>
      <t>)</t>
    </r>
  </si>
  <si>
    <t>Covariate (% change)</t>
  </si>
  <si>
    <t>330 (0%)</t>
  </si>
  <si>
    <r>
      <t>368 (</t>
    </r>
    <r>
      <rPr>
        <sz val="11"/>
        <color theme="6"/>
        <rFont val="Aptos Narrow"/>
        <family val="2"/>
        <scheme val="minor"/>
      </rPr>
      <t>+11%</t>
    </r>
    <r>
      <rPr>
        <sz val="11"/>
        <color theme="1"/>
        <rFont val="Aptos Narrow"/>
        <family val="2"/>
        <scheme val="minor"/>
      </rPr>
      <t>)</t>
    </r>
  </si>
  <si>
    <r>
      <t>0.05 (</t>
    </r>
    <r>
      <rPr>
        <sz val="11"/>
        <color rgb="FFC00000"/>
        <rFont val="Aptos Narrow"/>
        <family val="2"/>
        <scheme val="minor"/>
      </rPr>
      <t>-17%</t>
    </r>
    <r>
      <rPr>
        <sz val="11"/>
        <color theme="1"/>
        <rFont val="Aptos Narrow"/>
        <family val="2"/>
        <scheme val="minor"/>
      </rPr>
      <t>)</t>
    </r>
  </si>
  <si>
    <t>0.06 (0%)</t>
  </si>
  <si>
    <t>31533 (0%)</t>
  </si>
  <si>
    <r>
      <t>38905 (</t>
    </r>
    <r>
      <rPr>
        <sz val="11"/>
        <color theme="6"/>
        <rFont val="Aptos Narrow"/>
        <family val="2"/>
        <scheme val="minor"/>
      </rPr>
      <t>+23%</t>
    </r>
    <r>
      <rPr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</si>
</sst>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Courier New"/>
      <family val="3"/>
    </font>
    <font>
      <sz val="12"/>
      <color rgb="FF222222"/>
      <name val="Arial"/>
      <family val="2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0000"/>
      <name val="Arial"/>
      <family val="2"/>
    </font>
    <font>
      <i/>
      <sz val="11"/>
      <color theme="1"/>
      <name val="Aptos Narrow"/>
      <family val="2"/>
      <scheme val="minor"/>
    </font>
    <font>
      <b/>
      <u/>
      <sz val="11"/>
      <color theme="4" tint="-0.249977111117893"/>
      <name val="Aptos Narrow"/>
      <family val="2"/>
      <scheme val="minor"/>
    </font>
    <font>
      <u/>
      <sz val="11"/>
      <color theme="4" tint="-0.249977111117893"/>
      <name val="Aptos Narrow"/>
      <family val="2"/>
      <scheme val="minor"/>
    </font>
    <font>
      <u/>
      <sz val="11"/>
      <color rgb="FF000000"/>
      <name val="Arial"/>
      <family val="2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4CC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7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4" fillId="2" borderId="1" xfId="0" applyFont="1" applyFill="1" applyBorder="1"/>
    <xf numFmtId="0" fontId="4" fillId="0" borderId="1" xfId="0" applyFont="1" applyBorder="1" applyAlignment="1">
      <alignment horizontal="right"/>
    </xf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1" fontId="0" fillId="2" borderId="1" xfId="0" applyNumberFormat="1" applyFill="1" applyBorder="1"/>
    <xf numFmtId="1" fontId="0" fillId="2" borderId="1" xfId="0" applyNumberFormat="1" applyFill="1" applyBorder="1" applyAlignment="1">
      <alignment horizontal="right"/>
    </xf>
    <xf numFmtId="0" fontId="0" fillId="0" borderId="0" xfId="0" applyAlignment="1">
      <alignment wrapText="1"/>
    </xf>
    <xf numFmtId="0" fontId="9" fillId="0" borderId="0" xfId="0" applyFont="1"/>
    <xf numFmtId="0" fontId="0" fillId="3" borderId="0" xfId="0" applyFill="1"/>
    <xf numFmtId="165" fontId="0" fillId="0" borderId="3" xfId="0" applyNumberFormat="1" applyBorder="1"/>
    <xf numFmtId="165" fontId="0" fillId="3" borderId="3" xfId="0" applyNumberFormat="1" applyFill="1" applyBorder="1"/>
    <xf numFmtId="0" fontId="8" fillId="5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top" wrapText="1"/>
    </xf>
    <xf numFmtId="0" fontId="8" fillId="7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2" fontId="0" fillId="0" borderId="3" xfId="0" applyNumberFormat="1" applyBorder="1"/>
    <xf numFmtId="2" fontId="0" fillId="3" borderId="3" xfId="0" applyNumberFormat="1" applyFill="1" applyBorder="1"/>
    <xf numFmtId="2" fontId="0" fillId="3" borderId="5" xfId="0" applyNumberFormat="1" applyFill="1" applyBorder="1"/>
    <xf numFmtId="2" fontId="0" fillId="3" borderId="6" xfId="0" applyNumberFormat="1" applyFill="1" applyBorder="1"/>
    <xf numFmtId="2" fontId="0" fillId="0" borderId="6" xfId="0" applyNumberFormat="1" applyBorder="1"/>
    <xf numFmtId="0" fontId="0" fillId="8" borderId="0" xfId="0" applyFill="1"/>
    <xf numFmtId="0" fontId="0" fillId="0" borderId="0" xfId="0" applyAlignment="1">
      <alignment horizontal="right"/>
    </xf>
    <xf numFmtId="0" fontId="0" fillId="4" borderId="7" xfId="0" applyFill="1" applyBorder="1"/>
    <xf numFmtId="0" fontId="0" fillId="4" borderId="7" xfId="0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4" borderId="8" xfId="0" applyFill="1" applyBorder="1"/>
    <xf numFmtId="0" fontId="0" fillId="4" borderId="8" xfId="0" applyFill="1" applyBorder="1" applyAlignment="1">
      <alignment horizontal="center"/>
    </xf>
    <xf numFmtId="164" fontId="4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11" fillId="4" borderId="0" xfId="0" applyFont="1" applyFill="1" applyAlignment="1">
      <alignment horizontal="center"/>
    </xf>
    <xf numFmtId="0" fontId="13" fillId="9" borderId="4" xfId="0" applyFont="1" applyFill="1" applyBorder="1" applyAlignment="1">
      <alignment horizontal="center"/>
    </xf>
  </cellXfs>
  <cellStyles count="1">
    <cellStyle name="Normal" xfId="0" builtinId="0"/>
  </cellStyles>
  <dxfs count="2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  <dxf>
      <font>
        <b val="0"/>
      </font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border outline="0">
        <left style="thin">
          <color theme="7"/>
        </left>
        <top style="thin">
          <color theme="7"/>
        </top>
        <bottom style="thin">
          <color theme="7"/>
        </bottom>
      </border>
    </dxf>
    <dxf>
      <font>
        <b val="0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'GoMex SST'!$C$2:$C$41</c:f>
              <c:numCache>
                <c:formatCode>General</c:formatCode>
                <c:ptCount val="40"/>
                <c:pt idx="0">
                  <c:v>26.507300000000001</c:v>
                </c:pt>
                <c:pt idx="1">
                  <c:v>26.4754</c:v>
                </c:pt>
                <c:pt idx="2">
                  <c:v>26.174299999999999</c:v>
                </c:pt>
                <c:pt idx="3">
                  <c:v>25.948699999999999</c:v>
                </c:pt>
                <c:pt idx="4">
                  <c:v>26.2898</c:v>
                </c:pt>
                <c:pt idx="5">
                  <c:v>26.404599999999999</c:v>
                </c:pt>
                <c:pt idx="6">
                  <c:v>26.407499999999999</c:v>
                </c:pt>
                <c:pt idx="7">
                  <c:v>26.0578</c:v>
                </c:pt>
                <c:pt idx="8">
                  <c:v>26.203099999999999</c:v>
                </c:pt>
                <c:pt idx="9">
                  <c:v>26.452200000000001</c:v>
                </c:pt>
                <c:pt idx="10">
                  <c:v>26.549700000000001</c:v>
                </c:pt>
                <c:pt idx="11">
                  <c:v>25.974699999999999</c:v>
                </c:pt>
                <c:pt idx="12">
                  <c:v>26.293700000000001</c:v>
                </c:pt>
                <c:pt idx="13">
                  <c:v>26.390999999999998</c:v>
                </c:pt>
                <c:pt idx="14">
                  <c:v>26.5747</c:v>
                </c:pt>
                <c:pt idx="15">
                  <c:v>26.4924</c:v>
                </c:pt>
                <c:pt idx="16">
                  <c:v>26.3462</c:v>
                </c:pt>
                <c:pt idx="17">
                  <c:v>26.5809</c:v>
                </c:pt>
                <c:pt idx="18">
                  <c:v>26.367599999999999</c:v>
                </c:pt>
                <c:pt idx="19">
                  <c:v>26.392600000000002</c:v>
                </c:pt>
                <c:pt idx="20">
                  <c:v>26.398199999999999</c:v>
                </c:pt>
                <c:pt idx="21">
                  <c:v>26.628299999999999</c:v>
                </c:pt>
                <c:pt idx="22">
                  <c:v>26.5762</c:v>
                </c:pt>
                <c:pt idx="23">
                  <c:v>26.417300000000001</c:v>
                </c:pt>
                <c:pt idx="24">
                  <c:v>26.650300000000001</c:v>
                </c:pt>
                <c:pt idx="25">
                  <c:v>25.980899999999998</c:v>
                </c:pt>
                <c:pt idx="26">
                  <c:v>26.466799999999999</c:v>
                </c:pt>
                <c:pt idx="27">
                  <c:v>26.7699</c:v>
                </c:pt>
                <c:pt idx="28">
                  <c:v>26.450600000000001</c:v>
                </c:pt>
                <c:pt idx="29">
                  <c:v>26.414200000000001</c:v>
                </c:pt>
                <c:pt idx="30">
                  <c:v>26.998100000000001</c:v>
                </c:pt>
                <c:pt idx="31">
                  <c:v>27.158899999999999</c:v>
                </c:pt>
                <c:pt idx="32">
                  <c:v>26.7501</c:v>
                </c:pt>
                <c:pt idx="33">
                  <c:v>26.425599999999999</c:v>
                </c:pt>
                <c:pt idx="34">
                  <c:v>26.5303</c:v>
                </c:pt>
                <c:pt idx="35">
                  <c:v>26.619800000000001</c:v>
                </c:pt>
                <c:pt idx="36">
                  <c:v>26.418399999999998</c:v>
                </c:pt>
                <c:pt idx="37">
                  <c:v>26.607800000000001</c:v>
                </c:pt>
                <c:pt idx="38">
                  <c:v>27.0121</c:v>
                </c:pt>
                <c:pt idx="39">
                  <c:v>27.0075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1F-423E-A296-FD3C6467A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022016"/>
        <c:axId val="289021056"/>
      </c:lineChart>
      <c:catAx>
        <c:axId val="28902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021056"/>
        <c:crosses val="autoZero"/>
        <c:auto val="1"/>
        <c:lblAlgn val="ctr"/>
        <c:lblOffset val="100"/>
        <c:noMultiLvlLbl val="0"/>
      </c:catAx>
      <c:valAx>
        <c:axId val="28902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02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Landings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70603674540684"/>
          <c:y val="0.17171296296296296"/>
          <c:w val="0.8270717410323708"/>
          <c:h val="0.534521361913094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'figures &amp; tables'!$V$3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'figures &amp; tables'!$U$4:$U$24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'figures &amp; tables'!$V$4:$V$24</c:f>
              <c:numCache>
                <c:formatCode>0</c:formatCode>
                <c:ptCount val="21"/>
                <c:pt idx="0">
                  <c:v>1866</c:v>
                </c:pt>
                <c:pt idx="1">
                  <c:v>988</c:v>
                </c:pt>
                <c:pt idx="2">
                  <c:v>1308</c:v>
                </c:pt>
                <c:pt idx="3">
                  <c:v>1488</c:v>
                </c:pt>
                <c:pt idx="4">
                  <c:v>1703</c:v>
                </c:pt>
                <c:pt idx="5">
                  <c:v>1146</c:v>
                </c:pt>
                <c:pt idx="6">
                  <c:v>1333</c:v>
                </c:pt>
                <c:pt idx="7">
                  <c:v>599</c:v>
                </c:pt>
                <c:pt idx="8">
                  <c:v>523</c:v>
                </c:pt>
                <c:pt idx="9">
                  <c:v>548</c:v>
                </c:pt>
                <c:pt idx="10">
                  <c:v>482</c:v>
                </c:pt>
                <c:pt idx="11">
                  <c:v>619</c:v>
                </c:pt>
                <c:pt idx="12">
                  <c:v>429</c:v>
                </c:pt>
                <c:pt idx="13">
                  <c:v>592</c:v>
                </c:pt>
                <c:pt idx="14">
                  <c:v>493</c:v>
                </c:pt>
                <c:pt idx="15">
                  <c:v>591</c:v>
                </c:pt>
                <c:pt idx="16">
                  <c:v>781</c:v>
                </c:pt>
                <c:pt idx="17">
                  <c:v>1009</c:v>
                </c:pt>
                <c:pt idx="18">
                  <c:v>1037</c:v>
                </c:pt>
                <c:pt idx="19">
                  <c:v>839</c:v>
                </c:pt>
                <c:pt idx="20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F-4509-B66F-29EAB95A7CDE}"/>
            </c:ext>
          </c:extLst>
        </c:ser>
        <c:ser>
          <c:idx val="1"/>
          <c:order val="1"/>
          <c:tx>
            <c:strRef>
              <c:f>'figures &amp; tables'!$W$3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'figures &amp; tables'!$U$4:$U$24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'figures &amp; tables'!$W$4:$W$24</c:f>
              <c:numCache>
                <c:formatCode>0</c:formatCode>
                <c:ptCount val="21"/>
                <c:pt idx="0">
                  <c:v>354</c:v>
                </c:pt>
                <c:pt idx="1">
                  <c:v>447</c:v>
                </c:pt>
                <c:pt idx="2">
                  <c:v>275</c:v>
                </c:pt>
                <c:pt idx="3">
                  <c:v>300</c:v>
                </c:pt>
                <c:pt idx="4">
                  <c:v>175</c:v>
                </c:pt>
                <c:pt idx="5">
                  <c:v>290</c:v>
                </c:pt>
                <c:pt idx="6">
                  <c:v>338</c:v>
                </c:pt>
                <c:pt idx="7">
                  <c:v>332</c:v>
                </c:pt>
                <c:pt idx="8">
                  <c:v>375</c:v>
                </c:pt>
                <c:pt idx="9">
                  <c:v>374</c:v>
                </c:pt>
                <c:pt idx="10">
                  <c:v>535</c:v>
                </c:pt>
                <c:pt idx="11">
                  <c:v>500</c:v>
                </c:pt>
                <c:pt idx="12">
                  <c:v>399</c:v>
                </c:pt>
                <c:pt idx="13">
                  <c:v>608</c:v>
                </c:pt>
                <c:pt idx="14">
                  <c:v>715</c:v>
                </c:pt>
                <c:pt idx="15">
                  <c:v>655</c:v>
                </c:pt>
                <c:pt idx="16">
                  <c:v>786</c:v>
                </c:pt>
                <c:pt idx="17">
                  <c:v>655</c:v>
                </c:pt>
                <c:pt idx="18">
                  <c:v>628</c:v>
                </c:pt>
                <c:pt idx="19">
                  <c:v>324</c:v>
                </c:pt>
                <c:pt idx="20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AF-4509-B66F-29EAB95A7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28016"/>
        <c:axId val="178515056"/>
      </c:barChart>
      <c:catAx>
        <c:axId val="17852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5056"/>
        <c:crosses val="autoZero"/>
        <c:auto val="1"/>
        <c:lblAlgn val="ctr"/>
        <c:lblOffset val="100"/>
        <c:noMultiLvlLbl val="0"/>
      </c:catAx>
      <c:valAx>
        <c:axId val="17851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Normalization to 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'Input Indices'!$L$1</c:f>
              <c:strCache>
                <c:ptCount val="1"/>
                <c:pt idx="0">
                  <c:v>IDX11_US_RR_GT177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'Input Indices'!$K$2:$K$34</c:f>
              <c:numCache>
                <c:formatCode>General</c:formatCode>
                <c:ptCount val="33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</c:numCache>
            </c:numRef>
          </c:cat>
          <c:val>
            <c:numRef>
              <c:f>'Input Indices'!$L$2:$L$34</c:f>
              <c:numCache>
                <c:formatCode>General</c:formatCode>
                <c:ptCount val="33"/>
                <c:pt idx="5">
                  <c:v>2.1457489878542511</c:v>
                </c:pt>
                <c:pt idx="6">
                  <c:v>2.4898785425101213</c:v>
                </c:pt>
                <c:pt idx="7">
                  <c:v>6.7368421052631575</c:v>
                </c:pt>
                <c:pt idx="8">
                  <c:v>11.072874493927126</c:v>
                </c:pt>
                <c:pt idx="9">
                  <c:v>4.7287449392712544</c:v>
                </c:pt>
                <c:pt idx="10">
                  <c:v>6.3846153846153841</c:v>
                </c:pt>
                <c:pt idx="11">
                  <c:v>6.3319838056680169</c:v>
                </c:pt>
                <c:pt idx="12">
                  <c:v>3.9392712550607287</c:v>
                </c:pt>
                <c:pt idx="13">
                  <c:v>8.1093117408906892</c:v>
                </c:pt>
                <c:pt idx="14">
                  <c:v>7.5991902834008096</c:v>
                </c:pt>
                <c:pt idx="15">
                  <c:v>2.2024291497975712</c:v>
                </c:pt>
                <c:pt idx="16">
                  <c:v>1.263157894736842</c:v>
                </c:pt>
                <c:pt idx="17">
                  <c:v>1.6761133603238865</c:v>
                </c:pt>
                <c:pt idx="18">
                  <c:v>1.0566801619433199</c:v>
                </c:pt>
                <c:pt idx="19">
                  <c:v>1.1052631578947369</c:v>
                </c:pt>
                <c:pt idx="20">
                  <c:v>1</c:v>
                </c:pt>
                <c:pt idx="21">
                  <c:v>1.1700404858299593</c:v>
                </c:pt>
                <c:pt idx="22">
                  <c:v>2.5101214574898787</c:v>
                </c:pt>
                <c:pt idx="23">
                  <c:v>2.9919028340080973</c:v>
                </c:pt>
                <c:pt idx="24">
                  <c:v>2.1781376518218627</c:v>
                </c:pt>
                <c:pt idx="25">
                  <c:v>1.5748987854251013</c:v>
                </c:pt>
                <c:pt idx="26">
                  <c:v>1.8421052631578949</c:v>
                </c:pt>
                <c:pt idx="27">
                  <c:v>3.2429149797570851</c:v>
                </c:pt>
                <c:pt idx="28">
                  <c:v>4.3522267206477734</c:v>
                </c:pt>
                <c:pt idx="29">
                  <c:v>6.2307692307692308</c:v>
                </c:pt>
                <c:pt idx="30">
                  <c:v>6.2267206477732797</c:v>
                </c:pt>
                <c:pt idx="31">
                  <c:v>7.1093117408906883</c:v>
                </c:pt>
                <c:pt idx="32">
                  <c:v>6.0850202429149798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77-481E-B2A6-4DB3A7FF59A3}"/>
            </c:ext>
          </c:extLst>
        </c:ser>
        <c:ser>
          <c:idx val="1"/>
          <c:order val="1"/>
          <c:tx>
            <c:strRef>
              <c:f>'Input Indices'!$M$1</c:f>
              <c:strCache>
                <c:ptCount val="1"/>
                <c:pt idx="0">
                  <c:v>IDX14_CAN_SWNS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'Input Indices'!$K$2:$K$34</c:f>
              <c:numCache>
                <c:formatCode>General</c:formatCode>
                <c:ptCount val="33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</c:numCache>
            </c:numRef>
          </c:cat>
          <c:val>
            <c:numRef>
              <c:f>'Input Indices'!$M$2:$M$34</c:f>
              <c:numCache>
                <c:formatCode>General</c:formatCode>
                <c:ptCount val="33"/>
                <c:pt idx="8">
                  <c:v>1.5414110429447851</c:v>
                </c:pt>
                <c:pt idx="9">
                  <c:v>1.1518404907975459</c:v>
                </c:pt>
                <c:pt idx="10">
                  <c:v>1.4938650306748464</c:v>
                </c:pt>
                <c:pt idx="11">
                  <c:v>1.8374233128834354</c:v>
                </c:pt>
                <c:pt idx="12">
                  <c:v>1</c:v>
                </c:pt>
                <c:pt idx="13">
                  <c:v>1.2484662576687116</c:v>
                </c:pt>
                <c:pt idx="14">
                  <c:v>1.2009202453987731</c:v>
                </c:pt>
                <c:pt idx="15">
                  <c:v>1.2990797546012269</c:v>
                </c:pt>
                <c:pt idx="16">
                  <c:v>1.8374233128834354</c:v>
                </c:pt>
                <c:pt idx="17">
                  <c:v>1.852760736196319</c:v>
                </c:pt>
                <c:pt idx="18">
                  <c:v>2.2024539877300611</c:v>
                </c:pt>
                <c:pt idx="19">
                  <c:v>1.9723926380368098</c:v>
                </c:pt>
                <c:pt idx="20">
                  <c:v>2.0889570552147241</c:v>
                </c:pt>
                <c:pt idx="21">
                  <c:v>3.5276073619631898</c:v>
                </c:pt>
                <c:pt idx="22">
                  <c:v>3.276073619631902</c:v>
                </c:pt>
                <c:pt idx="23">
                  <c:v>2.7392638036809815</c:v>
                </c:pt>
                <c:pt idx="24">
                  <c:v>2.6687116564417175</c:v>
                </c:pt>
                <c:pt idx="25">
                  <c:v>2.0076687116564416</c:v>
                </c:pt>
                <c:pt idx="26">
                  <c:v>2.2760736196319016</c:v>
                </c:pt>
                <c:pt idx="27">
                  <c:v>2.2760736196319016</c:v>
                </c:pt>
                <c:pt idx="28">
                  <c:v>2.9279141104294477</c:v>
                </c:pt>
                <c:pt idx="29">
                  <c:v>2.973926380368098</c:v>
                </c:pt>
                <c:pt idx="30">
                  <c:v>2.5429447852760734</c:v>
                </c:pt>
                <c:pt idx="31">
                  <c:v>2.9815950920245395</c:v>
                </c:pt>
                <c:pt idx="32">
                  <c:v>3.4984662576687118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77-481E-B2A6-4DB3A7FF59A3}"/>
            </c:ext>
          </c:extLst>
        </c:ser>
        <c:ser>
          <c:idx val="4"/>
          <c:order val="4"/>
          <c:tx>
            <c:strRef>
              <c:f>'Input Indices'!$P$1</c:f>
              <c:strCache>
                <c:ptCount val="1"/>
                <c:pt idx="0">
                  <c:v>IDX20_VAST_Joint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'Input Indices'!$K$2:$K$34</c:f>
              <c:numCache>
                <c:formatCode>General</c:formatCode>
                <c:ptCount val="33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</c:numCache>
            </c:numRef>
          </c:cat>
          <c:val>
            <c:numRef>
              <c:f>'Input Indices'!$P$2:$P$34</c:f>
              <c:numCache>
                <c:formatCode>General</c:formatCode>
                <c:ptCount val="33"/>
                <c:pt idx="14">
                  <c:v>1.4679860803433304</c:v>
                </c:pt>
                <c:pt idx="15">
                  <c:v>1</c:v>
                </c:pt>
                <c:pt idx="16">
                  <c:v>1.486490805698792</c:v>
                </c:pt>
                <c:pt idx="17">
                  <c:v>1.6602084191400706</c:v>
                </c:pt>
                <c:pt idx="18">
                  <c:v>1.8167553054389107</c:v>
                </c:pt>
                <c:pt idx="19">
                  <c:v>1.4017748110982713</c:v>
                </c:pt>
                <c:pt idx="20">
                  <c:v>1.2941767783082758</c:v>
                </c:pt>
                <c:pt idx="21">
                  <c:v>1.4575075124072003</c:v>
                </c:pt>
                <c:pt idx="22">
                  <c:v>1.8018538787891645</c:v>
                </c:pt>
                <c:pt idx="23">
                  <c:v>1.7766686136956764</c:v>
                </c:pt>
                <c:pt idx="24">
                  <c:v>2.7122572789246862</c:v>
                </c:pt>
                <c:pt idx="25">
                  <c:v>1.5108781836827101</c:v>
                </c:pt>
                <c:pt idx="26">
                  <c:v>1.918893317424305</c:v>
                </c:pt>
                <c:pt idx="27">
                  <c:v>2.3559234841708148</c:v>
                </c:pt>
                <c:pt idx="28">
                  <c:v>3.4015481686914093</c:v>
                </c:pt>
                <c:pt idx="29">
                  <c:v>2.9159213540482889</c:v>
                </c:pt>
                <c:pt idx="30">
                  <c:v>2.8475815711475643</c:v>
                </c:pt>
                <c:pt idx="31">
                  <c:v>3.1551426283828761</c:v>
                </c:pt>
                <c:pt idx="32">
                  <c:v>2.9908114760007614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77-481E-B2A6-4DB3A7FF5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016031"/>
        <c:axId val="7390107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'Input Indices'!$N$1</c15:sqref>
                        </c15:formulaRef>
                      </c:ext>
                    </c:extLst>
                    <c:strCache>
                      <c:ptCount val="1"/>
                      <c:pt idx="0">
                        <c:v>IDX15_CAN_GSL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'Input Indices'!$K$2:$K$34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1988</c:v>
                      </c:pt>
                      <c:pt idx="1">
                        <c:v>1989</c:v>
                      </c:pt>
                      <c:pt idx="2">
                        <c:v>1990</c:v>
                      </c:pt>
                      <c:pt idx="3">
                        <c:v>1991</c:v>
                      </c:pt>
                      <c:pt idx="4">
                        <c:v>1992</c:v>
                      </c:pt>
                      <c:pt idx="5">
                        <c:v>1993</c:v>
                      </c:pt>
                      <c:pt idx="6">
                        <c:v>1994</c:v>
                      </c:pt>
                      <c:pt idx="7">
                        <c:v>1995</c:v>
                      </c:pt>
                      <c:pt idx="8">
                        <c:v>1996</c:v>
                      </c:pt>
                      <c:pt idx="9">
                        <c:v>1997</c:v>
                      </c:pt>
                      <c:pt idx="10">
                        <c:v>1998</c:v>
                      </c:pt>
                      <c:pt idx="11">
                        <c:v>1999</c:v>
                      </c:pt>
                      <c:pt idx="12">
                        <c:v>2000</c:v>
                      </c:pt>
                      <c:pt idx="13">
                        <c:v>2001</c:v>
                      </c:pt>
                      <c:pt idx="14">
                        <c:v>2002</c:v>
                      </c:pt>
                      <c:pt idx="15">
                        <c:v>2003</c:v>
                      </c:pt>
                      <c:pt idx="16">
                        <c:v>2004</c:v>
                      </c:pt>
                      <c:pt idx="17">
                        <c:v>2005</c:v>
                      </c:pt>
                      <c:pt idx="18">
                        <c:v>2006</c:v>
                      </c:pt>
                      <c:pt idx="19">
                        <c:v>2007</c:v>
                      </c:pt>
                      <c:pt idx="20">
                        <c:v>2008</c:v>
                      </c:pt>
                      <c:pt idx="21">
                        <c:v>2009</c:v>
                      </c:pt>
                      <c:pt idx="22">
                        <c:v>2010</c:v>
                      </c:pt>
                      <c:pt idx="23">
                        <c:v>2011</c:v>
                      </c:pt>
                      <c:pt idx="24">
                        <c:v>2012</c:v>
                      </c:pt>
                      <c:pt idx="25">
                        <c:v>2013</c:v>
                      </c:pt>
                      <c:pt idx="26">
                        <c:v>2014</c:v>
                      </c:pt>
                      <c:pt idx="27">
                        <c:v>2015</c:v>
                      </c:pt>
                      <c:pt idx="28">
                        <c:v>2016</c:v>
                      </c:pt>
                      <c:pt idx="29">
                        <c:v>2017</c:v>
                      </c:pt>
                      <c:pt idx="30">
                        <c:v>2018</c:v>
                      </c:pt>
                      <c:pt idx="31">
                        <c:v>2019</c:v>
                      </c:pt>
                      <c:pt idx="32">
                        <c:v>2020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'Input Indices'!$N$2:$N$34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2.0769230769230771</c:v>
                      </c:pt>
                      <c:pt idx="1">
                        <c:v>1.9230769230769234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4.6923076923076925</c:v>
                      </c:pt>
                      <c:pt idx="5">
                        <c:v>7.3076923076923084</c:v>
                      </c:pt>
                      <c:pt idx="6">
                        <c:v>3.2307692307692313</c:v>
                      </c:pt>
                      <c:pt idx="7">
                        <c:v>9.1538461538461533</c:v>
                      </c:pt>
                      <c:pt idx="8">
                        <c:v>1.2307692307692308</c:v>
                      </c:pt>
                      <c:pt idx="9">
                        <c:v>1.4615384615384617</c:v>
                      </c:pt>
                      <c:pt idx="10">
                        <c:v>2.3846153846153846</c:v>
                      </c:pt>
                      <c:pt idx="11">
                        <c:v>3.6153846153846154</c:v>
                      </c:pt>
                      <c:pt idx="12">
                        <c:v>3.3846153846153846</c:v>
                      </c:pt>
                      <c:pt idx="13">
                        <c:v>2.8461538461538463</c:v>
                      </c:pt>
                      <c:pt idx="14">
                        <c:v>5.1538461538461542</c:v>
                      </c:pt>
                      <c:pt idx="15">
                        <c:v>6</c:v>
                      </c:pt>
                      <c:pt idx="16">
                        <c:v>11.153846153846153</c:v>
                      </c:pt>
                      <c:pt idx="17">
                        <c:v>9.0769230769230766</c:v>
                      </c:pt>
                      <c:pt idx="18">
                        <c:v>8.6923076923076934</c:v>
                      </c:pt>
                      <c:pt idx="19">
                        <c:v>14.153846153846155</c:v>
                      </c:pt>
                      <c:pt idx="20">
                        <c:v>11.384615384615385</c:v>
                      </c:pt>
                      <c:pt idx="21">
                        <c:v>17.230769230769234</c:v>
                      </c:pt>
                      <c:pt idx="22">
                        <c:v>20.384615384615387</c:v>
                      </c:pt>
                      <c:pt idx="23">
                        <c:v>14.53846153846154</c:v>
                      </c:pt>
                      <c:pt idx="24">
                        <c:v>19.153846153846153</c:v>
                      </c:pt>
                      <c:pt idx="25">
                        <c:v>18.53846153846154</c:v>
                      </c:pt>
                      <c:pt idx="26">
                        <c:v>18.615384615384617</c:v>
                      </c:pt>
                      <c:pt idx="27">
                        <c:v>15.230769230769232</c:v>
                      </c:pt>
                      <c:pt idx="28">
                        <c:v>18.923076923076923</c:v>
                      </c:pt>
                      <c:pt idx="29">
                        <c:v>17.230769230769234</c:v>
                      </c:pt>
                      <c:pt idx="30">
                        <c:v>17.53846153846154</c:v>
                      </c:pt>
                      <c:pt idx="31">
                        <c:v>18.23076923076923</c:v>
                      </c:pt>
                      <c:pt idx="32">
                        <c:v>17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A77-481E-B2A6-4DB3A7FF59A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Indices'!$O$1</c15:sqref>
                        </c15:formulaRef>
                      </c:ext>
                    </c:extLst>
                    <c:strCache>
                      <c:ptCount val="1"/>
                      <c:pt idx="0">
                        <c:v>IDX16_CAN_ACOUSTIC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Indices'!$K$2:$K$34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1988</c:v>
                      </c:pt>
                      <c:pt idx="1">
                        <c:v>1989</c:v>
                      </c:pt>
                      <c:pt idx="2">
                        <c:v>1990</c:v>
                      </c:pt>
                      <c:pt idx="3">
                        <c:v>1991</c:v>
                      </c:pt>
                      <c:pt idx="4">
                        <c:v>1992</c:v>
                      </c:pt>
                      <c:pt idx="5">
                        <c:v>1993</c:v>
                      </c:pt>
                      <c:pt idx="6">
                        <c:v>1994</c:v>
                      </c:pt>
                      <c:pt idx="7">
                        <c:v>1995</c:v>
                      </c:pt>
                      <c:pt idx="8">
                        <c:v>1996</c:v>
                      </c:pt>
                      <c:pt idx="9">
                        <c:v>1997</c:v>
                      </c:pt>
                      <c:pt idx="10">
                        <c:v>1998</c:v>
                      </c:pt>
                      <c:pt idx="11">
                        <c:v>1999</c:v>
                      </c:pt>
                      <c:pt idx="12">
                        <c:v>2000</c:v>
                      </c:pt>
                      <c:pt idx="13">
                        <c:v>2001</c:v>
                      </c:pt>
                      <c:pt idx="14">
                        <c:v>2002</c:v>
                      </c:pt>
                      <c:pt idx="15">
                        <c:v>2003</c:v>
                      </c:pt>
                      <c:pt idx="16">
                        <c:v>2004</c:v>
                      </c:pt>
                      <c:pt idx="17">
                        <c:v>2005</c:v>
                      </c:pt>
                      <c:pt idx="18">
                        <c:v>2006</c:v>
                      </c:pt>
                      <c:pt idx="19">
                        <c:v>2007</c:v>
                      </c:pt>
                      <c:pt idx="20">
                        <c:v>2008</c:v>
                      </c:pt>
                      <c:pt idx="21">
                        <c:v>2009</c:v>
                      </c:pt>
                      <c:pt idx="22">
                        <c:v>2010</c:v>
                      </c:pt>
                      <c:pt idx="23">
                        <c:v>2011</c:v>
                      </c:pt>
                      <c:pt idx="24">
                        <c:v>2012</c:v>
                      </c:pt>
                      <c:pt idx="25">
                        <c:v>2013</c:v>
                      </c:pt>
                      <c:pt idx="26">
                        <c:v>2014</c:v>
                      </c:pt>
                      <c:pt idx="27">
                        <c:v>2015</c:v>
                      </c:pt>
                      <c:pt idx="28">
                        <c:v>2016</c:v>
                      </c:pt>
                      <c:pt idx="29">
                        <c:v>2017</c:v>
                      </c:pt>
                      <c:pt idx="30">
                        <c:v>2018</c:v>
                      </c:pt>
                      <c:pt idx="31">
                        <c:v>2019</c:v>
                      </c:pt>
                      <c:pt idx="32">
                        <c:v>2020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Indices'!$O$2:$O$34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6">
                        <c:v>1.368421052631579</c:v>
                      </c:pt>
                      <c:pt idx="7">
                        <c:v>1.7894736842105265</c:v>
                      </c:pt>
                      <c:pt idx="8">
                        <c:v>3.5263157894736845</c:v>
                      </c:pt>
                      <c:pt idx="9">
                        <c:v>2</c:v>
                      </c:pt>
                      <c:pt idx="10">
                        <c:v>2.2105263157894739</c:v>
                      </c:pt>
                      <c:pt idx="11">
                        <c:v>1.8421052631578949</c:v>
                      </c:pt>
                      <c:pt idx="12">
                        <c:v>1</c:v>
                      </c:pt>
                      <c:pt idx="13">
                        <c:v>1.9473684210526316</c:v>
                      </c:pt>
                      <c:pt idx="14">
                        <c:v>1.0526315789473684</c:v>
                      </c:pt>
                      <c:pt idx="15">
                        <c:v>1.8947368421052631</c:v>
                      </c:pt>
                      <c:pt idx="16">
                        <c:v>2</c:v>
                      </c:pt>
                      <c:pt idx="17">
                        <c:v>2.6842105263157894</c:v>
                      </c:pt>
                      <c:pt idx="18">
                        <c:v>3.263157894736842</c:v>
                      </c:pt>
                      <c:pt idx="19">
                        <c:v>2.2105263157894739</c:v>
                      </c:pt>
                      <c:pt idx="20">
                        <c:v>1.7894736842105265</c:v>
                      </c:pt>
                      <c:pt idx="21">
                        <c:v>3</c:v>
                      </c:pt>
                      <c:pt idx="22">
                        <c:v>3.4210526315789478</c:v>
                      </c:pt>
                      <c:pt idx="23">
                        <c:v>2.6315789473684212</c:v>
                      </c:pt>
                      <c:pt idx="24">
                        <c:v>5.2631578947368425</c:v>
                      </c:pt>
                      <c:pt idx="25">
                        <c:v>2.9473684210526319</c:v>
                      </c:pt>
                      <c:pt idx="26">
                        <c:v>4</c:v>
                      </c:pt>
                      <c:pt idx="27">
                        <c:v>3.9473684210526314</c:v>
                      </c:pt>
                      <c:pt idx="28">
                        <c:v>4.6315789473684212</c:v>
                      </c:pt>
                      <c:pt idx="29">
                        <c:v>2.7894736842105261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A77-481E-B2A6-4DB3A7FF59A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Indices'!$Q$1</c15:sqref>
                        </c15:formulaRef>
                      </c:ext>
                    </c:extLst>
                    <c:strCache>
                      <c:ptCount val="1"/>
                      <c:pt idx="0">
                        <c:v>VAST US ONLY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Indices'!$K$2:$K$34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1988</c:v>
                      </c:pt>
                      <c:pt idx="1">
                        <c:v>1989</c:v>
                      </c:pt>
                      <c:pt idx="2">
                        <c:v>1990</c:v>
                      </c:pt>
                      <c:pt idx="3">
                        <c:v>1991</c:v>
                      </c:pt>
                      <c:pt idx="4">
                        <c:v>1992</c:v>
                      </c:pt>
                      <c:pt idx="5">
                        <c:v>1993</c:v>
                      </c:pt>
                      <c:pt idx="6">
                        <c:v>1994</c:v>
                      </c:pt>
                      <c:pt idx="7">
                        <c:v>1995</c:v>
                      </c:pt>
                      <c:pt idx="8">
                        <c:v>1996</c:v>
                      </c:pt>
                      <c:pt idx="9">
                        <c:v>1997</c:v>
                      </c:pt>
                      <c:pt idx="10">
                        <c:v>1998</c:v>
                      </c:pt>
                      <c:pt idx="11">
                        <c:v>1999</c:v>
                      </c:pt>
                      <c:pt idx="12">
                        <c:v>2000</c:v>
                      </c:pt>
                      <c:pt idx="13">
                        <c:v>2001</c:v>
                      </c:pt>
                      <c:pt idx="14">
                        <c:v>2002</c:v>
                      </c:pt>
                      <c:pt idx="15">
                        <c:v>2003</c:v>
                      </c:pt>
                      <c:pt idx="16">
                        <c:v>2004</c:v>
                      </c:pt>
                      <c:pt idx="17">
                        <c:v>2005</c:v>
                      </c:pt>
                      <c:pt idx="18">
                        <c:v>2006</c:v>
                      </c:pt>
                      <c:pt idx="19">
                        <c:v>2007</c:v>
                      </c:pt>
                      <c:pt idx="20">
                        <c:v>2008</c:v>
                      </c:pt>
                      <c:pt idx="21">
                        <c:v>2009</c:v>
                      </c:pt>
                      <c:pt idx="22">
                        <c:v>2010</c:v>
                      </c:pt>
                      <c:pt idx="23">
                        <c:v>2011</c:v>
                      </c:pt>
                      <c:pt idx="24">
                        <c:v>2012</c:v>
                      </c:pt>
                      <c:pt idx="25">
                        <c:v>2013</c:v>
                      </c:pt>
                      <c:pt idx="26">
                        <c:v>2014</c:v>
                      </c:pt>
                      <c:pt idx="27">
                        <c:v>2015</c:v>
                      </c:pt>
                      <c:pt idx="28">
                        <c:v>2016</c:v>
                      </c:pt>
                      <c:pt idx="29">
                        <c:v>2017</c:v>
                      </c:pt>
                      <c:pt idx="30">
                        <c:v>2018</c:v>
                      </c:pt>
                      <c:pt idx="31">
                        <c:v>2019</c:v>
                      </c:pt>
                      <c:pt idx="32">
                        <c:v>2020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Indices'!$Q$2:$Q$34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14">
                        <c:v>12.994565327781226</c:v>
                      </c:pt>
                      <c:pt idx="15">
                        <c:v>4.5289597452399173</c:v>
                      </c:pt>
                      <c:pt idx="16">
                        <c:v>2.0334356688062476</c:v>
                      </c:pt>
                      <c:pt idx="17">
                        <c:v>3.281168557710155</c:v>
                      </c:pt>
                      <c:pt idx="18">
                        <c:v>3.3130149342213624</c:v>
                      </c:pt>
                      <c:pt idx="19">
                        <c:v>4.0551067356419201</c:v>
                      </c:pt>
                      <c:pt idx="20">
                        <c:v>4.0608218874911568</c:v>
                      </c:pt>
                      <c:pt idx="21">
                        <c:v>5.7398447593921542</c:v>
                      </c:pt>
                      <c:pt idx="22">
                        <c:v>10.779099651188957</c:v>
                      </c:pt>
                      <c:pt idx="23">
                        <c:v>7.9777802483476421</c:v>
                      </c:pt>
                      <c:pt idx="24">
                        <c:v>4.6349229714677715</c:v>
                      </c:pt>
                      <c:pt idx="25">
                        <c:v>1</c:v>
                      </c:pt>
                      <c:pt idx="26">
                        <c:v>5.6440342978021718</c:v>
                      </c:pt>
                      <c:pt idx="27">
                        <c:v>7.3574509795678802</c:v>
                      </c:pt>
                      <c:pt idx="28">
                        <c:v>13.223614121720026</c:v>
                      </c:pt>
                      <c:pt idx="29">
                        <c:v>11.072330685533343</c:v>
                      </c:pt>
                      <c:pt idx="30">
                        <c:v>15.37446798994473</c:v>
                      </c:pt>
                      <c:pt idx="31">
                        <c:v>19.943786712505656</c:v>
                      </c:pt>
                      <c:pt idx="32">
                        <c:v>13.647572461672533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A77-481E-B2A6-4DB3A7FF59A3}"/>
                  </c:ext>
                </c:extLst>
              </c15:ser>
            </c15:filteredLineSeries>
          </c:ext>
        </c:extLst>
      </c:lineChart>
      <c:catAx>
        <c:axId val="739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010751"/>
        <c:crosses val="autoZero"/>
        <c:auto val="1"/>
        <c:lblAlgn val="ctr"/>
        <c:lblOffset val="100"/>
        <c:noMultiLvlLbl val="0"/>
      </c:catAx>
      <c:valAx>
        <c:axId val="73901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01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</a:t>
            </a:r>
            <a:r>
              <a:rPr lang="en-US" baseline="0"/>
              <a:t> score standardization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'Input Indices'!$B$1</c:f>
              <c:strCache>
                <c:ptCount val="1"/>
                <c:pt idx="0">
                  <c:v>US &gt;177 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'Input Indices'!$S$2:$S$34</c:f>
              <c:numCache>
                <c:formatCode>General</c:formatCode>
                <c:ptCount val="33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</c:numCache>
            </c:numRef>
          </c:cat>
          <c:val>
            <c:numRef>
              <c:f>'Input Indices'!$T$2:$T$34</c:f>
              <c:numCache>
                <c:formatCode>General</c:formatCode>
                <c:ptCount val="33"/>
                <c:pt idx="5">
                  <c:v>-0.39569306611970684</c:v>
                </c:pt>
                <c:pt idx="6">
                  <c:v>-0.26581696964106261</c:v>
                </c:pt>
                <c:pt idx="7">
                  <c:v>1.3370068563130297</c:v>
                </c:pt>
                <c:pt idx="8">
                  <c:v>2.9734456719439484</c:v>
                </c:pt>
                <c:pt idx="9">
                  <c:v>0.57914163450823475</c:v>
                </c:pt>
                <c:pt idx="10">
                  <c:v>1.2040748516819468</c:v>
                </c:pt>
                <c:pt idx="11">
                  <c:v>1.1842114486910957</c:v>
                </c:pt>
                <c:pt idx="12">
                  <c:v>0.28119058964546284</c:v>
                </c:pt>
                <c:pt idx="13">
                  <c:v>1.8549832881513884</c:v>
                </c:pt>
                <c:pt idx="14">
                  <c:v>1.6624610745477502</c:v>
                </c:pt>
                <c:pt idx="15">
                  <c:v>-0.37430170905263588</c:v>
                </c:pt>
                <c:pt idx="16">
                  <c:v>-0.72878705473552396</c:v>
                </c:pt>
                <c:pt idx="17">
                  <c:v>-0.57293573896115091</c:v>
                </c:pt>
                <c:pt idx="18">
                  <c:v>-0.8067127126227106</c:v>
                </c:pt>
                <c:pt idx="19">
                  <c:v>-0.78837726370807848</c:v>
                </c:pt>
                <c:pt idx="20">
                  <c:v>-0.82810406968978134</c:v>
                </c:pt>
                <c:pt idx="21">
                  <c:v>-0.76392999848856902</c:v>
                </c:pt>
                <c:pt idx="22">
                  <c:v>-0.25817719925996579</c:v>
                </c:pt>
                <c:pt idx="23">
                  <c:v>-7.6350664189863762E-2</c:v>
                </c:pt>
                <c:pt idx="24">
                  <c:v>-0.38346943350995194</c:v>
                </c:pt>
                <c:pt idx="25">
                  <c:v>-0.61113459086663435</c:v>
                </c:pt>
                <c:pt idx="26">
                  <c:v>-0.51028962183615767</c:v>
                </c:pt>
                <c:pt idx="27">
                  <c:v>1.8382488535735573E-2</c:v>
                </c:pt>
                <c:pt idx="28">
                  <c:v>0.43704190541983601</c:v>
                </c:pt>
                <c:pt idx="29">
                  <c:v>1.1460125967856118</c:v>
                </c:pt>
                <c:pt idx="30">
                  <c:v>1.1444846427093927</c:v>
                </c:pt>
                <c:pt idx="31">
                  <c:v>1.4775786313252097</c:v>
                </c:pt>
                <c:pt idx="32">
                  <c:v>1.0910062500417155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79-48FE-86C8-D27C8971F4F1}"/>
            </c:ext>
          </c:extLst>
        </c:ser>
        <c:ser>
          <c:idx val="1"/>
          <c:order val="1"/>
          <c:tx>
            <c:strRef>
              <c:f>'Input Indices'!$C$1</c:f>
              <c:strCache>
                <c:ptCount val="1"/>
                <c:pt idx="0">
                  <c:v>CAN_SWNS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'Input Indices'!$S$2:$S$34</c:f>
              <c:numCache>
                <c:formatCode>General</c:formatCode>
                <c:ptCount val="33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</c:numCache>
            </c:numRef>
          </c:cat>
          <c:val>
            <c:numRef>
              <c:f>'Input Indices'!$U$2:$U$34</c:f>
              <c:numCache>
                <c:formatCode>General</c:formatCode>
                <c:ptCount val="33"/>
                <c:pt idx="8">
                  <c:v>-0.683539622671132</c:v>
                </c:pt>
                <c:pt idx="9">
                  <c:v>-1.2108836131970468</c:v>
                </c:pt>
                <c:pt idx="10">
                  <c:v>-0.7479005034046099</c:v>
                </c:pt>
                <c:pt idx="11">
                  <c:v>-0.28284123616915718</c:v>
                </c:pt>
                <c:pt idx="12">
                  <c:v>-1.4164232000555728</c:v>
                </c:pt>
                <c:pt idx="13">
                  <c:v>-1.0800856942870758</c:v>
                </c:pt>
                <c:pt idx="14">
                  <c:v>-1.1444465750205535</c:v>
                </c:pt>
                <c:pt idx="15">
                  <c:v>-1.0115724986675672</c:v>
                </c:pt>
                <c:pt idx="16">
                  <c:v>-0.28284123616915718</c:v>
                </c:pt>
                <c:pt idx="17">
                  <c:v>-0.26207966173900288</c:v>
                </c:pt>
                <c:pt idx="18">
                  <c:v>0.21128423526851106</c:v>
                </c:pt>
                <c:pt idx="19">
                  <c:v>-0.10013938118380065</c:v>
                </c:pt>
                <c:pt idx="20">
                  <c:v>5.7648584485371059E-2</c:v>
                </c:pt>
                <c:pt idx="21">
                  <c:v>2.0050842660338284</c:v>
                </c:pt>
                <c:pt idx="22">
                  <c:v>1.6645944453793011</c:v>
                </c:pt>
                <c:pt idx="23">
                  <c:v>0.93793934032390613</c:v>
                </c:pt>
                <c:pt idx="24">
                  <c:v>0.84243609794519669</c:v>
                </c:pt>
                <c:pt idx="25">
                  <c:v>-5.2387759994446274E-2</c:v>
                </c:pt>
                <c:pt idx="26">
                  <c:v>0.31093979253325094</c:v>
                </c:pt>
                <c:pt idx="27">
                  <c:v>0.31093979253325094</c:v>
                </c:pt>
                <c:pt idx="28">
                  <c:v>1.1933067058148019</c:v>
                </c:pt>
                <c:pt idx="29">
                  <c:v>1.2555914291052641</c:v>
                </c:pt>
                <c:pt idx="30">
                  <c:v>0.67219118761793295</c:v>
                </c:pt>
                <c:pt idx="31">
                  <c:v>1.2659722163203411</c:v>
                </c:pt>
                <c:pt idx="32">
                  <c:v>1.965637274616536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79-48FE-86C8-D27C8971F4F1}"/>
            </c:ext>
          </c:extLst>
        </c:ser>
        <c:ser>
          <c:idx val="4"/>
          <c:order val="4"/>
          <c:tx>
            <c:strRef>
              <c:f>'Input Indices'!$F$1</c:f>
              <c:strCache>
                <c:ptCount val="1"/>
                <c:pt idx="0">
                  <c:v>Joint US/CAN VAST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'Input Indices'!$S$2:$S$34</c:f>
              <c:numCache>
                <c:formatCode>General</c:formatCode>
                <c:ptCount val="33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</c:numCache>
              <c:extLst xmlns:c15="http://schemas.microsoft.com/office/drawing/2012/chart"/>
            </c:numRef>
          </c:cat>
          <c:val>
            <c:numRef>
              <c:f>'Input Indices'!$X$2:$X$34</c:f>
              <c:numCache>
                <c:formatCode>General</c:formatCode>
                <c:ptCount val="33"/>
                <c:pt idx="14">
                  <c:v>-0.65444000364189092</c:v>
                </c:pt>
                <c:pt idx="15">
                  <c:v>-1.3127128102023999</c:v>
                </c:pt>
                <c:pt idx="16">
                  <c:v>-0.6284111151641939</c:v>
                </c:pt>
                <c:pt idx="17">
                  <c:v>-0.38405858898416229</c:v>
                </c:pt>
                <c:pt idx="18">
                  <c:v>-0.16385853917361012</c:v>
                </c:pt>
                <c:pt idx="19">
                  <c:v>-0.7475732823067246</c:v>
                </c:pt>
                <c:pt idx="20">
                  <c:v>-0.89892149970049307</c:v>
                </c:pt>
                <c:pt idx="21">
                  <c:v>-0.66917923759301812</c:v>
                </c:pt>
                <c:pt idx="22">
                  <c:v>-0.18481900008152358</c:v>
                </c:pt>
                <c:pt idx="23">
                  <c:v>-0.22024478694445349</c:v>
                </c:pt>
                <c:pt idx="24">
                  <c:v>1.0957613985272936</c:v>
                </c:pt>
                <c:pt idx="25">
                  <c:v>-0.59410764242340575</c:v>
                </c:pt>
                <c:pt idx="26">
                  <c:v>-2.0190428881075816E-2</c:v>
                </c:pt>
                <c:pt idx="27">
                  <c:v>0.59453955241404455</c:v>
                </c:pt>
                <c:pt idx="28">
                  <c:v>2.0653232457737998</c:v>
                </c:pt>
                <c:pt idx="29">
                  <c:v>1.3822368471748443</c:v>
                </c:pt>
                <c:pt idx="30">
                  <c:v>1.2861095848921873</c:v>
                </c:pt>
                <c:pt idx="31">
                  <c:v>1.7187273246900789</c:v>
                </c:pt>
                <c:pt idx="32">
                  <c:v>1.4875778665597501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1279-48FE-86C8-D27C8971F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1817071"/>
        <c:axId val="73901459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'Input Indices'!$V$1</c15:sqref>
                        </c15:formulaRef>
                      </c:ext>
                    </c:extLst>
                    <c:strCache>
                      <c:ptCount val="1"/>
                      <c:pt idx="0">
                        <c:v>IDX15_CAN_GSL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'Input Indices'!$S$2:$S$34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1988</c:v>
                      </c:pt>
                      <c:pt idx="1">
                        <c:v>1989</c:v>
                      </c:pt>
                      <c:pt idx="2">
                        <c:v>1990</c:v>
                      </c:pt>
                      <c:pt idx="3">
                        <c:v>1991</c:v>
                      </c:pt>
                      <c:pt idx="4">
                        <c:v>1992</c:v>
                      </c:pt>
                      <c:pt idx="5">
                        <c:v>1993</c:v>
                      </c:pt>
                      <c:pt idx="6">
                        <c:v>1994</c:v>
                      </c:pt>
                      <c:pt idx="7">
                        <c:v>1995</c:v>
                      </c:pt>
                      <c:pt idx="8">
                        <c:v>1996</c:v>
                      </c:pt>
                      <c:pt idx="9">
                        <c:v>1997</c:v>
                      </c:pt>
                      <c:pt idx="10">
                        <c:v>1998</c:v>
                      </c:pt>
                      <c:pt idx="11">
                        <c:v>1999</c:v>
                      </c:pt>
                      <c:pt idx="12">
                        <c:v>2000</c:v>
                      </c:pt>
                      <c:pt idx="13">
                        <c:v>2001</c:v>
                      </c:pt>
                      <c:pt idx="14">
                        <c:v>2002</c:v>
                      </c:pt>
                      <c:pt idx="15">
                        <c:v>2003</c:v>
                      </c:pt>
                      <c:pt idx="16">
                        <c:v>2004</c:v>
                      </c:pt>
                      <c:pt idx="17">
                        <c:v>2005</c:v>
                      </c:pt>
                      <c:pt idx="18">
                        <c:v>2006</c:v>
                      </c:pt>
                      <c:pt idx="19">
                        <c:v>2007</c:v>
                      </c:pt>
                      <c:pt idx="20">
                        <c:v>2008</c:v>
                      </c:pt>
                      <c:pt idx="21">
                        <c:v>2009</c:v>
                      </c:pt>
                      <c:pt idx="22">
                        <c:v>2010</c:v>
                      </c:pt>
                      <c:pt idx="23">
                        <c:v>2011</c:v>
                      </c:pt>
                      <c:pt idx="24">
                        <c:v>2012</c:v>
                      </c:pt>
                      <c:pt idx="25">
                        <c:v>2013</c:v>
                      </c:pt>
                      <c:pt idx="26">
                        <c:v>2014</c:v>
                      </c:pt>
                      <c:pt idx="27">
                        <c:v>2015</c:v>
                      </c:pt>
                      <c:pt idx="28">
                        <c:v>2016</c:v>
                      </c:pt>
                      <c:pt idx="29">
                        <c:v>2017</c:v>
                      </c:pt>
                      <c:pt idx="30">
                        <c:v>2018</c:v>
                      </c:pt>
                      <c:pt idx="31">
                        <c:v>2019</c:v>
                      </c:pt>
                      <c:pt idx="32">
                        <c:v>2020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'Input Indices'!$V$2:$V$34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-0.68940824343053564</c:v>
                      </c:pt>
                      <c:pt idx="1">
                        <c:v>-0.71206742502286735</c:v>
                      </c:pt>
                      <c:pt idx="2">
                        <c:v>-0.84802251457685696</c:v>
                      </c:pt>
                      <c:pt idx="3">
                        <c:v>-0.84802251457685696</c:v>
                      </c:pt>
                      <c:pt idx="4">
                        <c:v>-0.30420215636089859</c:v>
                      </c:pt>
                      <c:pt idx="5">
                        <c:v>8.1003930708738667E-2</c:v>
                      </c:pt>
                      <c:pt idx="6">
                        <c:v>-0.51946438148804874</c:v>
                      </c:pt>
                      <c:pt idx="7">
                        <c:v>0.35291410981671767</c:v>
                      </c:pt>
                      <c:pt idx="8">
                        <c:v>-0.81403374218835955</c:v>
                      </c:pt>
                      <c:pt idx="9">
                        <c:v>-0.78004496979986215</c:v>
                      </c:pt>
                      <c:pt idx="10">
                        <c:v>-0.64408988024587266</c:v>
                      </c:pt>
                      <c:pt idx="11">
                        <c:v>-0.4628164275072198</c:v>
                      </c:pt>
                      <c:pt idx="12">
                        <c:v>-0.4968051998957172</c:v>
                      </c:pt>
                      <c:pt idx="13">
                        <c:v>-0.57611233546887775</c:v>
                      </c:pt>
                      <c:pt idx="14">
                        <c:v>-0.23622461158390376</c:v>
                      </c:pt>
                      <c:pt idx="15">
                        <c:v>-0.11159911282608002</c:v>
                      </c:pt>
                      <c:pt idx="16">
                        <c:v>0.64748347051702848</c:v>
                      </c:pt>
                      <c:pt idx="17">
                        <c:v>0.34158451902055192</c:v>
                      </c:pt>
                      <c:pt idx="18">
                        <c:v>0.28493656503972309</c:v>
                      </c:pt>
                      <c:pt idx="19">
                        <c:v>1.0893375115674948</c:v>
                      </c:pt>
                      <c:pt idx="20">
                        <c:v>0.68147224290552599</c:v>
                      </c:pt>
                      <c:pt idx="21">
                        <c:v>1.5425211434141273</c:v>
                      </c:pt>
                      <c:pt idx="22">
                        <c:v>2.0070343660569248</c:v>
                      </c:pt>
                      <c:pt idx="23">
                        <c:v>1.1459854655483239</c:v>
                      </c:pt>
                      <c:pt idx="24">
                        <c:v>1.8257609133182717</c:v>
                      </c:pt>
                      <c:pt idx="25">
                        <c:v>1.7351241869489455</c:v>
                      </c:pt>
                      <c:pt idx="26">
                        <c:v>1.7464537777451115</c:v>
                      </c:pt>
                      <c:pt idx="27">
                        <c:v>1.2479517827138158</c:v>
                      </c:pt>
                      <c:pt idx="28">
                        <c:v>1.7917721409297744</c:v>
                      </c:pt>
                      <c:pt idx="29">
                        <c:v>1.5425211434141273</c:v>
                      </c:pt>
                      <c:pt idx="30">
                        <c:v>1.5878395065987903</c:v>
                      </c:pt>
                      <c:pt idx="31">
                        <c:v>1.6898058237642821</c:v>
                      </c:pt>
                      <c:pt idx="32">
                        <c:v>1.5085323710256293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279-48FE-86C8-D27C8971F4F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Indices'!$W$1</c15:sqref>
                        </c15:formulaRef>
                      </c:ext>
                    </c:extLst>
                    <c:strCache>
                      <c:ptCount val="1"/>
                      <c:pt idx="0">
                        <c:v>IDX16_CAN_ACOUSTIC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Indices'!$S$2:$S$34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1988</c:v>
                      </c:pt>
                      <c:pt idx="1">
                        <c:v>1989</c:v>
                      </c:pt>
                      <c:pt idx="2">
                        <c:v>1990</c:v>
                      </c:pt>
                      <c:pt idx="3">
                        <c:v>1991</c:v>
                      </c:pt>
                      <c:pt idx="4">
                        <c:v>1992</c:v>
                      </c:pt>
                      <c:pt idx="5">
                        <c:v>1993</c:v>
                      </c:pt>
                      <c:pt idx="6">
                        <c:v>1994</c:v>
                      </c:pt>
                      <c:pt idx="7">
                        <c:v>1995</c:v>
                      </c:pt>
                      <c:pt idx="8">
                        <c:v>1996</c:v>
                      </c:pt>
                      <c:pt idx="9">
                        <c:v>1997</c:v>
                      </c:pt>
                      <c:pt idx="10">
                        <c:v>1998</c:v>
                      </c:pt>
                      <c:pt idx="11">
                        <c:v>1999</c:v>
                      </c:pt>
                      <c:pt idx="12">
                        <c:v>2000</c:v>
                      </c:pt>
                      <c:pt idx="13">
                        <c:v>2001</c:v>
                      </c:pt>
                      <c:pt idx="14">
                        <c:v>2002</c:v>
                      </c:pt>
                      <c:pt idx="15">
                        <c:v>2003</c:v>
                      </c:pt>
                      <c:pt idx="16">
                        <c:v>2004</c:v>
                      </c:pt>
                      <c:pt idx="17">
                        <c:v>2005</c:v>
                      </c:pt>
                      <c:pt idx="18">
                        <c:v>2006</c:v>
                      </c:pt>
                      <c:pt idx="19">
                        <c:v>2007</c:v>
                      </c:pt>
                      <c:pt idx="20">
                        <c:v>2008</c:v>
                      </c:pt>
                      <c:pt idx="21">
                        <c:v>2009</c:v>
                      </c:pt>
                      <c:pt idx="22">
                        <c:v>2010</c:v>
                      </c:pt>
                      <c:pt idx="23">
                        <c:v>2011</c:v>
                      </c:pt>
                      <c:pt idx="24">
                        <c:v>2012</c:v>
                      </c:pt>
                      <c:pt idx="25">
                        <c:v>2013</c:v>
                      </c:pt>
                      <c:pt idx="26">
                        <c:v>2014</c:v>
                      </c:pt>
                      <c:pt idx="27">
                        <c:v>2015</c:v>
                      </c:pt>
                      <c:pt idx="28">
                        <c:v>2016</c:v>
                      </c:pt>
                      <c:pt idx="29">
                        <c:v>2017</c:v>
                      </c:pt>
                      <c:pt idx="30">
                        <c:v>2018</c:v>
                      </c:pt>
                      <c:pt idx="31">
                        <c:v>2019</c:v>
                      </c:pt>
                      <c:pt idx="32">
                        <c:v>2020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Indices'!$W$2:$W$34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6">
                        <c:v>-0.98054472436886497</c:v>
                      </c:pt>
                      <c:pt idx="7">
                        <c:v>-0.58770127576891285</c:v>
                      </c:pt>
                      <c:pt idx="8">
                        <c:v>1.0327779497058889</c:v>
                      </c:pt>
                      <c:pt idx="9">
                        <c:v>-0.39127955146893711</c:v>
                      </c:pt>
                      <c:pt idx="10">
                        <c:v>-0.19485782716896097</c:v>
                      </c:pt>
                      <c:pt idx="11">
                        <c:v>-0.53859584469391897</c:v>
                      </c:pt>
                      <c:pt idx="12">
                        <c:v>-1.324282741893823</c:v>
                      </c:pt>
                      <c:pt idx="13">
                        <c:v>-0.44038498254393105</c:v>
                      </c:pt>
                      <c:pt idx="14">
                        <c:v>-1.2751773108188291</c:v>
                      </c:pt>
                      <c:pt idx="15">
                        <c:v>-0.4894904136189252</c:v>
                      </c:pt>
                      <c:pt idx="16">
                        <c:v>-0.39127955146893711</c:v>
                      </c:pt>
                      <c:pt idx="17">
                        <c:v>0.24709105250598468</c:v>
                      </c:pt>
                      <c:pt idx="18">
                        <c:v>0.7872507943309186</c:v>
                      </c:pt>
                      <c:pt idx="19">
                        <c:v>-0.19485782716896097</c:v>
                      </c:pt>
                      <c:pt idx="20">
                        <c:v>-0.58770127576891285</c:v>
                      </c:pt>
                      <c:pt idx="21">
                        <c:v>0.54172363895594877</c:v>
                      </c:pt>
                      <c:pt idx="22">
                        <c:v>0.93456708755590101</c:v>
                      </c:pt>
                      <c:pt idx="23">
                        <c:v>0.19798562143099094</c:v>
                      </c:pt>
                      <c:pt idx="24">
                        <c:v>2.6532571751806908</c:v>
                      </c:pt>
                      <c:pt idx="25">
                        <c:v>0.49261820788095501</c:v>
                      </c:pt>
                      <c:pt idx="26">
                        <c:v>1.4747268293808347</c:v>
                      </c:pt>
                      <c:pt idx="27">
                        <c:v>1.4256213983058403</c:v>
                      </c:pt>
                      <c:pt idx="28">
                        <c:v>2.0639920022807625</c:v>
                      </c:pt>
                      <c:pt idx="29">
                        <c:v>0.34530191465597254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279-48FE-86C8-D27C8971F4F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Indices'!$Y$1</c15:sqref>
                        </c15:formulaRef>
                      </c:ext>
                    </c:extLst>
                    <c:strCache>
                      <c:ptCount val="1"/>
                      <c:pt idx="0">
                        <c:v>VAST US ONLY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Indices'!$S$2:$S$34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1988</c:v>
                      </c:pt>
                      <c:pt idx="1">
                        <c:v>1989</c:v>
                      </c:pt>
                      <c:pt idx="2">
                        <c:v>1990</c:v>
                      </c:pt>
                      <c:pt idx="3">
                        <c:v>1991</c:v>
                      </c:pt>
                      <c:pt idx="4">
                        <c:v>1992</c:v>
                      </c:pt>
                      <c:pt idx="5">
                        <c:v>1993</c:v>
                      </c:pt>
                      <c:pt idx="6">
                        <c:v>1994</c:v>
                      </c:pt>
                      <c:pt idx="7">
                        <c:v>1995</c:v>
                      </c:pt>
                      <c:pt idx="8">
                        <c:v>1996</c:v>
                      </c:pt>
                      <c:pt idx="9">
                        <c:v>1997</c:v>
                      </c:pt>
                      <c:pt idx="10">
                        <c:v>1998</c:v>
                      </c:pt>
                      <c:pt idx="11">
                        <c:v>1999</c:v>
                      </c:pt>
                      <c:pt idx="12">
                        <c:v>2000</c:v>
                      </c:pt>
                      <c:pt idx="13">
                        <c:v>2001</c:v>
                      </c:pt>
                      <c:pt idx="14">
                        <c:v>2002</c:v>
                      </c:pt>
                      <c:pt idx="15">
                        <c:v>2003</c:v>
                      </c:pt>
                      <c:pt idx="16">
                        <c:v>2004</c:v>
                      </c:pt>
                      <c:pt idx="17">
                        <c:v>2005</c:v>
                      </c:pt>
                      <c:pt idx="18">
                        <c:v>2006</c:v>
                      </c:pt>
                      <c:pt idx="19">
                        <c:v>2007</c:v>
                      </c:pt>
                      <c:pt idx="20">
                        <c:v>2008</c:v>
                      </c:pt>
                      <c:pt idx="21">
                        <c:v>2009</c:v>
                      </c:pt>
                      <c:pt idx="22">
                        <c:v>2010</c:v>
                      </c:pt>
                      <c:pt idx="23">
                        <c:v>2011</c:v>
                      </c:pt>
                      <c:pt idx="24">
                        <c:v>2012</c:v>
                      </c:pt>
                      <c:pt idx="25">
                        <c:v>2013</c:v>
                      </c:pt>
                      <c:pt idx="26">
                        <c:v>2014</c:v>
                      </c:pt>
                      <c:pt idx="27">
                        <c:v>2015</c:v>
                      </c:pt>
                      <c:pt idx="28">
                        <c:v>2016</c:v>
                      </c:pt>
                      <c:pt idx="29">
                        <c:v>2017</c:v>
                      </c:pt>
                      <c:pt idx="30">
                        <c:v>2018</c:v>
                      </c:pt>
                      <c:pt idx="31">
                        <c:v>2019</c:v>
                      </c:pt>
                      <c:pt idx="32">
                        <c:v>2020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Indices'!$Y$2:$Y$34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14">
                        <c:v>1.3284535240294124</c:v>
                      </c:pt>
                      <c:pt idx="15">
                        <c:v>-0.33416176194497366</c:v>
                      </c:pt>
                      <c:pt idx="16">
                        <c:v>-0.82427395008570736</c:v>
                      </c:pt>
                      <c:pt idx="17">
                        <c:v>-0.57922358083830516</c:v>
                      </c:pt>
                      <c:pt idx="18">
                        <c:v>-0.5729690640321331</c:v>
                      </c:pt>
                      <c:pt idx="19">
                        <c:v>-0.42722483337926737</c:v>
                      </c:pt>
                      <c:pt idx="20">
                        <c:v>-0.42610239757316248</c:v>
                      </c:pt>
                      <c:pt idx="21">
                        <c:v>-9.6348186240627867E-2</c:v>
                      </c:pt>
                      <c:pt idx="22">
                        <c:v>0.89334382472445806</c:v>
                      </c:pt>
                      <c:pt idx="23">
                        <c:v>0.34317450551286544</c:v>
                      </c:pt>
                      <c:pt idx="24">
                        <c:v>-0.31335095544568176</c:v>
                      </c:pt>
                      <c:pt idx="25">
                        <c:v>-1.0272370958731629</c:v>
                      </c:pt>
                      <c:pt idx="26">
                        <c:v>-0.11516502532468394</c:v>
                      </c:pt>
                      <c:pt idx="27">
                        <c:v>0.22134400980236996</c:v>
                      </c:pt>
                      <c:pt idx="28">
                        <c:v>1.3734379049249756</c:v>
                      </c:pt>
                      <c:pt idx="29">
                        <c:v>0.95093337284001089</c:v>
                      </c:pt>
                      <c:pt idx="30">
                        <c:v>1.795858071366752</c:v>
                      </c:pt>
                      <c:pt idx="31">
                        <c:v>2.6932562646260916</c:v>
                      </c:pt>
                      <c:pt idx="32">
                        <c:v>1.4567018379949315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279-48FE-86C8-D27C8971F4F1}"/>
                  </c:ext>
                </c:extLst>
              </c15:ser>
            </c15:filteredLineSeries>
          </c:ext>
        </c:extLst>
      </c:lineChart>
      <c:catAx>
        <c:axId val="75181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014591"/>
        <c:crosses val="autoZero"/>
        <c:auto val="1"/>
        <c:lblAlgn val="ctr"/>
        <c:lblOffset val="100"/>
        <c:noMultiLvlLbl val="0"/>
      </c:catAx>
      <c:valAx>
        <c:axId val="73901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81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Index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'Input Indices'!$B$1</c:f>
              <c:strCache>
                <c:ptCount val="1"/>
                <c:pt idx="0">
                  <c:v>US &gt;177 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'Input Indices'!$A$2:$A$34</c:f>
              <c:numCache>
                <c:formatCode>General</c:formatCode>
                <c:ptCount val="33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</c:numCache>
            </c:numRef>
          </c:cat>
          <c:val>
            <c:numRef>
              <c:f>'Input Indices'!$B$2:$B$34</c:f>
              <c:numCache>
                <c:formatCode>General</c:formatCode>
                <c:ptCount val="33"/>
                <c:pt idx="5">
                  <c:v>0.53</c:v>
                </c:pt>
                <c:pt idx="6">
                  <c:v>0.61499999999999999</c:v>
                </c:pt>
                <c:pt idx="7">
                  <c:v>1.6639999999999999</c:v>
                </c:pt>
                <c:pt idx="8">
                  <c:v>2.7349999999999999</c:v>
                </c:pt>
                <c:pt idx="9">
                  <c:v>1.1679999999999999</c:v>
                </c:pt>
                <c:pt idx="10">
                  <c:v>1.577</c:v>
                </c:pt>
                <c:pt idx="11">
                  <c:v>1.5640000000000001</c:v>
                </c:pt>
                <c:pt idx="12">
                  <c:v>0.97299999999999998</c:v>
                </c:pt>
                <c:pt idx="13">
                  <c:v>2.0030000000000001</c:v>
                </c:pt>
                <c:pt idx="14">
                  <c:v>1.877</c:v>
                </c:pt>
                <c:pt idx="15">
                  <c:v>0.54400000000000004</c:v>
                </c:pt>
                <c:pt idx="16">
                  <c:v>0.312</c:v>
                </c:pt>
                <c:pt idx="17">
                  <c:v>0.41399999999999998</c:v>
                </c:pt>
                <c:pt idx="18">
                  <c:v>0.26100000000000001</c:v>
                </c:pt>
                <c:pt idx="19">
                  <c:v>0.27300000000000002</c:v>
                </c:pt>
                <c:pt idx="20">
                  <c:v>0.247</c:v>
                </c:pt>
                <c:pt idx="21">
                  <c:v>0.28899999999999998</c:v>
                </c:pt>
                <c:pt idx="22">
                  <c:v>0.62</c:v>
                </c:pt>
                <c:pt idx="23">
                  <c:v>0.73899999999999999</c:v>
                </c:pt>
                <c:pt idx="24">
                  <c:v>0.53800000000000003</c:v>
                </c:pt>
                <c:pt idx="25">
                  <c:v>0.38900000000000001</c:v>
                </c:pt>
                <c:pt idx="26">
                  <c:v>0.45500000000000002</c:v>
                </c:pt>
                <c:pt idx="27">
                  <c:v>0.80100000000000005</c:v>
                </c:pt>
                <c:pt idx="28">
                  <c:v>1.075</c:v>
                </c:pt>
                <c:pt idx="29">
                  <c:v>1.5389999999999999</c:v>
                </c:pt>
                <c:pt idx="30">
                  <c:v>1.538</c:v>
                </c:pt>
                <c:pt idx="31">
                  <c:v>1.756</c:v>
                </c:pt>
                <c:pt idx="32">
                  <c:v>1.5029999999999999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5-4309-AAB2-14DD78BB521B}"/>
            </c:ext>
          </c:extLst>
        </c:ser>
        <c:ser>
          <c:idx val="1"/>
          <c:order val="1"/>
          <c:tx>
            <c:strRef>
              <c:f>'Input Indices'!$C$1</c:f>
              <c:strCache>
                <c:ptCount val="1"/>
                <c:pt idx="0">
                  <c:v>CAN_SWNS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'Input Indices'!$A$2:$A$34</c:f>
              <c:numCache>
                <c:formatCode>General</c:formatCode>
                <c:ptCount val="33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</c:numCache>
            </c:numRef>
          </c:cat>
          <c:val>
            <c:numRef>
              <c:f>'Input Indices'!$C$2:$C$34</c:f>
              <c:numCache>
                <c:formatCode>General</c:formatCode>
                <c:ptCount val="33"/>
                <c:pt idx="8">
                  <c:v>1.0049999999999999</c:v>
                </c:pt>
                <c:pt idx="9">
                  <c:v>0.751</c:v>
                </c:pt>
                <c:pt idx="10">
                  <c:v>0.97399999999999998</c:v>
                </c:pt>
                <c:pt idx="11">
                  <c:v>1.198</c:v>
                </c:pt>
                <c:pt idx="12">
                  <c:v>0.65200000000000002</c:v>
                </c:pt>
                <c:pt idx="13">
                  <c:v>0.81399999999999995</c:v>
                </c:pt>
                <c:pt idx="14">
                  <c:v>0.78300000000000003</c:v>
                </c:pt>
                <c:pt idx="15">
                  <c:v>0.84699999999999998</c:v>
                </c:pt>
                <c:pt idx="16">
                  <c:v>1.198</c:v>
                </c:pt>
                <c:pt idx="17">
                  <c:v>1.208</c:v>
                </c:pt>
                <c:pt idx="18">
                  <c:v>1.4359999999999999</c:v>
                </c:pt>
                <c:pt idx="19">
                  <c:v>1.286</c:v>
                </c:pt>
                <c:pt idx="20">
                  <c:v>1.3620000000000001</c:v>
                </c:pt>
                <c:pt idx="21">
                  <c:v>2.2999999999999998</c:v>
                </c:pt>
                <c:pt idx="22">
                  <c:v>2.1360000000000001</c:v>
                </c:pt>
                <c:pt idx="23">
                  <c:v>1.786</c:v>
                </c:pt>
                <c:pt idx="24">
                  <c:v>1.74</c:v>
                </c:pt>
                <c:pt idx="25">
                  <c:v>1.3089999999999999</c:v>
                </c:pt>
                <c:pt idx="26">
                  <c:v>1.484</c:v>
                </c:pt>
                <c:pt idx="27">
                  <c:v>1.484</c:v>
                </c:pt>
                <c:pt idx="28">
                  <c:v>1.909</c:v>
                </c:pt>
                <c:pt idx="29">
                  <c:v>1.9390000000000001</c:v>
                </c:pt>
                <c:pt idx="30">
                  <c:v>1.6579999999999999</c:v>
                </c:pt>
                <c:pt idx="31">
                  <c:v>1.944</c:v>
                </c:pt>
                <c:pt idx="32">
                  <c:v>2.2810000000000001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E5-4309-AAB2-14DD78BB5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75183"/>
        <c:axId val="852633519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'Input Indices'!$D$1</c15:sqref>
                        </c15:formulaRef>
                      </c:ext>
                    </c:extLst>
                    <c:strCache>
                      <c:ptCount val="1"/>
                      <c:pt idx="0">
                        <c:v>IDX15_CAN_GSL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'Input Indices'!$A$2:$A$34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1988</c:v>
                      </c:pt>
                      <c:pt idx="1">
                        <c:v>1989</c:v>
                      </c:pt>
                      <c:pt idx="2">
                        <c:v>1990</c:v>
                      </c:pt>
                      <c:pt idx="3">
                        <c:v>1991</c:v>
                      </c:pt>
                      <c:pt idx="4">
                        <c:v>1992</c:v>
                      </c:pt>
                      <c:pt idx="5">
                        <c:v>1993</c:v>
                      </c:pt>
                      <c:pt idx="6">
                        <c:v>1994</c:v>
                      </c:pt>
                      <c:pt idx="7">
                        <c:v>1995</c:v>
                      </c:pt>
                      <c:pt idx="8">
                        <c:v>1996</c:v>
                      </c:pt>
                      <c:pt idx="9">
                        <c:v>1997</c:v>
                      </c:pt>
                      <c:pt idx="10">
                        <c:v>1998</c:v>
                      </c:pt>
                      <c:pt idx="11">
                        <c:v>1999</c:v>
                      </c:pt>
                      <c:pt idx="12">
                        <c:v>2000</c:v>
                      </c:pt>
                      <c:pt idx="13">
                        <c:v>2001</c:v>
                      </c:pt>
                      <c:pt idx="14">
                        <c:v>2002</c:v>
                      </c:pt>
                      <c:pt idx="15">
                        <c:v>2003</c:v>
                      </c:pt>
                      <c:pt idx="16">
                        <c:v>2004</c:v>
                      </c:pt>
                      <c:pt idx="17">
                        <c:v>2005</c:v>
                      </c:pt>
                      <c:pt idx="18">
                        <c:v>2006</c:v>
                      </c:pt>
                      <c:pt idx="19">
                        <c:v>2007</c:v>
                      </c:pt>
                      <c:pt idx="20">
                        <c:v>2008</c:v>
                      </c:pt>
                      <c:pt idx="21">
                        <c:v>2009</c:v>
                      </c:pt>
                      <c:pt idx="22">
                        <c:v>2010</c:v>
                      </c:pt>
                      <c:pt idx="23">
                        <c:v>2011</c:v>
                      </c:pt>
                      <c:pt idx="24">
                        <c:v>2012</c:v>
                      </c:pt>
                      <c:pt idx="25">
                        <c:v>2013</c:v>
                      </c:pt>
                      <c:pt idx="26">
                        <c:v>2014</c:v>
                      </c:pt>
                      <c:pt idx="27">
                        <c:v>2015</c:v>
                      </c:pt>
                      <c:pt idx="28">
                        <c:v>2016</c:v>
                      </c:pt>
                      <c:pt idx="29">
                        <c:v>2017</c:v>
                      </c:pt>
                      <c:pt idx="30">
                        <c:v>2018</c:v>
                      </c:pt>
                      <c:pt idx="31">
                        <c:v>2019</c:v>
                      </c:pt>
                      <c:pt idx="32">
                        <c:v>2020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'Input Indices'!$D$2:$D$34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2.7E-2</c:v>
                      </c:pt>
                      <c:pt idx="1">
                        <c:v>2.5000000000000001E-2</c:v>
                      </c:pt>
                      <c:pt idx="2">
                        <c:v>1.2999999999999999E-2</c:v>
                      </c:pt>
                      <c:pt idx="3">
                        <c:v>1.2999999999999999E-2</c:v>
                      </c:pt>
                      <c:pt idx="4">
                        <c:v>6.0999999999999999E-2</c:v>
                      </c:pt>
                      <c:pt idx="5">
                        <c:v>9.5000000000000001E-2</c:v>
                      </c:pt>
                      <c:pt idx="6">
                        <c:v>4.2000000000000003E-2</c:v>
                      </c:pt>
                      <c:pt idx="7">
                        <c:v>0.11899999999999999</c:v>
                      </c:pt>
                      <c:pt idx="8">
                        <c:v>1.6E-2</c:v>
                      </c:pt>
                      <c:pt idx="9">
                        <c:v>1.9E-2</c:v>
                      </c:pt>
                      <c:pt idx="10">
                        <c:v>3.1E-2</c:v>
                      </c:pt>
                      <c:pt idx="11">
                        <c:v>4.7E-2</c:v>
                      </c:pt>
                      <c:pt idx="12">
                        <c:v>4.3999999999999997E-2</c:v>
                      </c:pt>
                      <c:pt idx="13">
                        <c:v>3.6999999999999998E-2</c:v>
                      </c:pt>
                      <c:pt idx="14">
                        <c:v>6.7000000000000004E-2</c:v>
                      </c:pt>
                      <c:pt idx="15">
                        <c:v>7.8E-2</c:v>
                      </c:pt>
                      <c:pt idx="16">
                        <c:v>0.14499999999999999</c:v>
                      </c:pt>
                      <c:pt idx="17">
                        <c:v>0.11799999999999999</c:v>
                      </c:pt>
                      <c:pt idx="18">
                        <c:v>0.113</c:v>
                      </c:pt>
                      <c:pt idx="19">
                        <c:v>0.184</c:v>
                      </c:pt>
                      <c:pt idx="20">
                        <c:v>0.14799999999999999</c:v>
                      </c:pt>
                      <c:pt idx="21">
                        <c:v>0.224</c:v>
                      </c:pt>
                      <c:pt idx="22">
                        <c:v>0.26500000000000001</c:v>
                      </c:pt>
                      <c:pt idx="23">
                        <c:v>0.189</c:v>
                      </c:pt>
                      <c:pt idx="24">
                        <c:v>0.249</c:v>
                      </c:pt>
                      <c:pt idx="25">
                        <c:v>0.24099999999999999</c:v>
                      </c:pt>
                      <c:pt idx="26">
                        <c:v>0.24199999999999999</c:v>
                      </c:pt>
                      <c:pt idx="27">
                        <c:v>0.19800000000000001</c:v>
                      </c:pt>
                      <c:pt idx="28">
                        <c:v>0.246</c:v>
                      </c:pt>
                      <c:pt idx="29">
                        <c:v>0.224</c:v>
                      </c:pt>
                      <c:pt idx="30">
                        <c:v>0.22800000000000001</c:v>
                      </c:pt>
                      <c:pt idx="31">
                        <c:v>0.23699999999999999</c:v>
                      </c:pt>
                      <c:pt idx="32">
                        <c:v>0.221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6E5-4309-AAB2-14DD78BB521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Indices'!$E$1</c15:sqref>
                        </c15:formulaRef>
                      </c:ext>
                    </c:extLst>
                    <c:strCache>
                      <c:ptCount val="1"/>
                      <c:pt idx="0">
                        <c:v>IDX16_CAN_ACOUSTIC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Indices'!$A$2:$A$34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1988</c:v>
                      </c:pt>
                      <c:pt idx="1">
                        <c:v>1989</c:v>
                      </c:pt>
                      <c:pt idx="2">
                        <c:v>1990</c:v>
                      </c:pt>
                      <c:pt idx="3">
                        <c:v>1991</c:v>
                      </c:pt>
                      <c:pt idx="4">
                        <c:v>1992</c:v>
                      </c:pt>
                      <c:pt idx="5">
                        <c:v>1993</c:v>
                      </c:pt>
                      <c:pt idx="6">
                        <c:v>1994</c:v>
                      </c:pt>
                      <c:pt idx="7">
                        <c:v>1995</c:v>
                      </c:pt>
                      <c:pt idx="8">
                        <c:v>1996</c:v>
                      </c:pt>
                      <c:pt idx="9">
                        <c:v>1997</c:v>
                      </c:pt>
                      <c:pt idx="10">
                        <c:v>1998</c:v>
                      </c:pt>
                      <c:pt idx="11">
                        <c:v>1999</c:v>
                      </c:pt>
                      <c:pt idx="12">
                        <c:v>2000</c:v>
                      </c:pt>
                      <c:pt idx="13">
                        <c:v>2001</c:v>
                      </c:pt>
                      <c:pt idx="14">
                        <c:v>2002</c:v>
                      </c:pt>
                      <c:pt idx="15">
                        <c:v>2003</c:v>
                      </c:pt>
                      <c:pt idx="16">
                        <c:v>2004</c:v>
                      </c:pt>
                      <c:pt idx="17">
                        <c:v>2005</c:v>
                      </c:pt>
                      <c:pt idx="18">
                        <c:v>2006</c:v>
                      </c:pt>
                      <c:pt idx="19">
                        <c:v>2007</c:v>
                      </c:pt>
                      <c:pt idx="20">
                        <c:v>2008</c:v>
                      </c:pt>
                      <c:pt idx="21">
                        <c:v>2009</c:v>
                      </c:pt>
                      <c:pt idx="22">
                        <c:v>2010</c:v>
                      </c:pt>
                      <c:pt idx="23">
                        <c:v>2011</c:v>
                      </c:pt>
                      <c:pt idx="24">
                        <c:v>2012</c:v>
                      </c:pt>
                      <c:pt idx="25">
                        <c:v>2013</c:v>
                      </c:pt>
                      <c:pt idx="26">
                        <c:v>2014</c:v>
                      </c:pt>
                      <c:pt idx="27">
                        <c:v>2015</c:v>
                      </c:pt>
                      <c:pt idx="28">
                        <c:v>2016</c:v>
                      </c:pt>
                      <c:pt idx="29">
                        <c:v>2017</c:v>
                      </c:pt>
                      <c:pt idx="30">
                        <c:v>2018</c:v>
                      </c:pt>
                      <c:pt idx="31">
                        <c:v>2019</c:v>
                      </c:pt>
                      <c:pt idx="32">
                        <c:v>2020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Indices'!$E$2:$E$34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6">
                        <c:v>2.5999999999999999E-2</c:v>
                      </c:pt>
                      <c:pt idx="7">
                        <c:v>3.4000000000000002E-2</c:v>
                      </c:pt>
                      <c:pt idx="8">
                        <c:v>6.7000000000000004E-2</c:v>
                      </c:pt>
                      <c:pt idx="9">
                        <c:v>3.7999999999999999E-2</c:v>
                      </c:pt>
                      <c:pt idx="10">
                        <c:v>4.2000000000000003E-2</c:v>
                      </c:pt>
                      <c:pt idx="11">
                        <c:v>3.5000000000000003E-2</c:v>
                      </c:pt>
                      <c:pt idx="12">
                        <c:v>1.9E-2</c:v>
                      </c:pt>
                      <c:pt idx="13">
                        <c:v>3.6999999999999998E-2</c:v>
                      </c:pt>
                      <c:pt idx="14">
                        <c:v>0.02</c:v>
                      </c:pt>
                      <c:pt idx="15">
                        <c:v>3.5999999999999997E-2</c:v>
                      </c:pt>
                      <c:pt idx="16">
                        <c:v>3.7999999999999999E-2</c:v>
                      </c:pt>
                      <c:pt idx="17">
                        <c:v>5.0999999999999997E-2</c:v>
                      </c:pt>
                      <c:pt idx="18">
                        <c:v>6.2E-2</c:v>
                      </c:pt>
                      <c:pt idx="19">
                        <c:v>4.2000000000000003E-2</c:v>
                      </c:pt>
                      <c:pt idx="20">
                        <c:v>3.4000000000000002E-2</c:v>
                      </c:pt>
                      <c:pt idx="21">
                        <c:v>5.7000000000000002E-2</c:v>
                      </c:pt>
                      <c:pt idx="22">
                        <c:v>6.5000000000000002E-2</c:v>
                      </c:pt>
                      <c:pt idx="23">
                        <c:v>0.05</c:v>
                      </c:pt>
                      <c:pt idx="24">
                        <c:v>0.1</c:v>
                      </c:pt>
                      <c:pt idx="25">
                        <c:v>5.6000000000000001E-2</c:v>
                      </c:pt>
                      <c:pt idx="26">
                        <c:v>7.5999999999999998E-2</c:v>
                      </c:pt>
                      <c:pt idx="27">
                        <c:v>7.4999999999999997E-2</c:v>
                      </c:pt>
                      <c:pt idx="28">
                        <c:v>8.7999999999999995E-2</c:v>
                      </c:pt>
                      <c:pt idx="29">
                        <c:v>5.2999999999999999E-2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6E5-4309-AAB2-14DD78BB521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4"/>
          <c:order val="4"/>
          <c:tx>
            <c:strRef>
              <c:f>'Input Indices'!$F$1</c:f>
              <c:strCache>
                <c:ptCount val="1"/>
                <c:pt idx="0">
                  <c:v>Joint US/CAN VAST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'Input Indices'!$A$2:$A$34</c:f>
              <c:numCache>
                <c:formatCode>General</c:formatCode>
                <c:ptCount val="33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</c:numCache>
            </c:numRef>
          </c:cat>
          <c:val>
            <c:numRef>
              <c:f>'Input Indices'!$F$2:$F$34</c:f>
              <c:numCache>
                <c:formatCode>General</c:formatCode>
                <c:ptCount val="33"/>
                <c:pt idx="14">
                  <c:v>10967.44434</c:v>
                </c:pt>
                <c:pt idx="15">
                  <c:v>7471.081972</c:v>
                </c:pt>
                <c:pt idx="16">
                  <c:v>11105.694659999999</c:v>
                </c:pt>
                <c:pt idx="17">
                  <c:v>12403.553190000001</c:v>
                </c:pt>
                <c:pt idx="18">
                  <c:v>13573.12781</c:v>
                </c:pt>
                <c:pt idx="19">
                  <c:v>10472.774520000001</c:v>
                </c:pt>
                <c:pt idx="20">
                  <c:v>9668.9007970000002</c:v>
                </c:pt>
                <c:pt idx="21">
                  <c:v>10889.158100000001</c:v>
                </c:pt>
                <c:pt idx="22">
                  <c:v>13461.79803</c:v>
                </c:pt>
                <c:pt idx="23">
                  <c:v>13273.636850000001</c:v>
                </c:pt>
                <c:pt idx="24">
                  <c:v>20263.496459999998</c:v>
                </c:pt>
                <c:pt idx="25">
                  <c:v>11287.894759999999</c:v>
                </c:pt>
                <c:pt idx="26">
                  <c:v>14336.209269999999</c:v>
                </c:pt>
                <c:pt idx="27">
                  <c:v>17601.297470000001</c:v>
                </c:pt>
                <c:pt idx="28">
                  <c:v>25413.245200000001</c:v>
                </c:pt>
                <c:pt idx="29">
                  <c:v>21785.087459999999</c:v>
                </c:pt>
                <c:pt idx="30">
                  <c:v>21274.515340000002</c:v>
                </c:pt>
                <c:pt idx="31">
                  <c:v>23572.32921</c:v>
                </c:pt>
                <c:pt idx="32">
                  <c:v>22344.597699999998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E5-4309-AAB2-14DD78BB5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615551"/>
        <c:axId val="889618911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'Input Indices'!$G$1</c15:sqref>
                        </c15:formulaRef>
                      </c:ext>
                    </c:extLst>
                    <c:strCache>
                      <c:ptCount val="1"/>
                      <c:pt idx="0">
                        <c:v>VAST US ONLY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'Input Indices'!$A$2:$A$34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1988</c:v>
                      </c:pt>
                      <c:pt idx="1">
                        <c:v>1989</c:v>
                      </c:pt>
                      <c:pt idx="2">
                        <c:v>1990</c:v>
                      </c:pt>
                      <c:pt idx="3">
                        <c:v>1991</c:v>
                      </c:pt>
                      <c:pt idx="4">
                        <c:v>1992</c:v>
                      </c:pt>
                      <c:pt idx="5">
                        <c:v>1993</c:v>
                      </c:pt>
                      <c:pt idx="6">
                        <c:v>1994</c:v>
                      </c:pt>
                      <c:pt idx="7">
                        <c:v>1995</c:v>
                      </c:pt>
                      <c:pt idx="8">
                        <c:v>1996</c:v>
                      </c:pt>
                      <c:pt idx="9">
                        <c:v>1997</c:v>
                      </c:pt>
                      <c:pt idx="10">
                        <c:v>1998</c:v>
                      </c:pt>
                      <c:pt idx="11">
                        <c:v>1999</c:v>
                      </c:pt>
                      <c:pt idx="12">
                        <c:v>2000</c:v>
                      </c:pt>
                      <c:pt idx="13">
                        <c:v>2001</c:v>
                      </c:pt>
                      <c:pt idx="14">
                        <c:v>2002</c:v>
                      </c:pt>
                      <c:pt idx="15">
                        <c:v>2003</c:v>
                      </c:pt>
                      <c:pt idx="16">
                        <c:v>2004</c:v>
                      </c:pt>
                      <c:pt idx="17">
                        <c:v>2005</c:v>
                      </c:pt>
                      <c:pt idx="18">
                        <c:v>2006</c:v>
                      </c:pt>
                      <c:pt idx="19">
                        <c:v>2007</c:v>
                      </c:pt>
                      <c:pt idx="20">
                        <c:v>2008</c:v>
                      </c:pt>
                      <c:pt idx="21">
                        <c:v>2009</c:v>
                      </c:pt>
                      <c:pt idx="22">
                        <c:v>2010</c:v>
                      </c:pt>
                      <c:pt idx="23">
                        <c:v>2011</c:v>
                      </c:pt>
                      <c:pt idx="24">
                        <c:v>2012</c:v>
                      </c:pt>
                      <c:pt idx="25">
                        <c:v>2013</c:v>
                      </c:pt>
                      <c:pt idx="26">
                        <c:v>2014</c:v>
                      </c:pt>
                      <c:pt idx="27">
                        <c:v>2015</c:v>
                      </c:pt>
                      <c:pt idx="28">
                        <c:v>2016</c:v>
                      </c:pt>
                      <c:pt idx="29">
                        <c:v>2017</c:v>
                      </c:pt>
                      <c:pt idx="30">
                        <c:v>2018</c:v>
                      </c:pt>
                      <c:pt idx="31">
                        <c:v>2019</c:v>
                      </c:pt>
                      <c:pt idx="32">
                        <c:v>2020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'Input Indices'!$G$2:$G$34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14">
                        <c:v>3975.8288950000001</c:v>
                      </c:pt>
                      <c:pt idx="15">
                        <c:v>1385.6845969999999</c:v>
                      </c:pt>
                      <c:pt idx="16">
                        <c:v>622.15180610000004</c:v>
                      </c:pt>
                      <c:pt idx="17">
                        <c:v>1003.909283</c:v>
                      </c:pt>
                      <c:pt idx="18">
                        <c:v>1013.6530289999999</c:v>
                      </c:pt>
                      <c:pt idx="19">
                        <c:v>1240.7041039999999</c:v>
                      </c:pt>
                      <c:pt idx="20">
                        <c:v>1242.4527169999999</c:v>
                      </c:pt>
                      <c:pt idx="21">
                        <c:v>1756.1680650000001</c:v>
                      </c:pt>
                      <c:pt idx="22">
                        <c:v>3297.9830240000001</c:v>
                      </c:pt>
                      <c:pt idx="23">
                        <c:v>2440.8888200000001</c:v>
                      </c:pt>
                      <c:pt idx="24">
                        <c:v>1418.1052010000001</c:v>
                      </c:pt>
                      <c:pt idx="25">
                        <c:v>305.96089940000002</c:v>
                      </c:pt>
                      <c:pt idx="26">
                        <c:v>1726.8538100000001</c:v>
                      </c:pt>
                      <c:pt idx="27">
                        <c:v>2251.0923189999999</c:v>
                      </c:pt>
                      <c:pt idx="28">
                        <c:v>4045.9088700000002</c:v>
                      </c:pt>
                      <c:pt idx="29">
                        <c:v>3387.7002550000002</c:v>
                      </c:pt>
                      <c:pt idx="30">
                        <c:v>4703.986054</c:v>
                      </c:pt>
                      <c:pt idx="31">
                        <c:v>6102.0189200000004</c:v>
                      </c:pt>
                      <c:pt idx="32">
                        <c:v>4175.6235450000004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6E5-4309-AAB2-14DD78BB521B}"/>
                  </c:ext>
                </c:extLst>
              </c15:ser>
            </c15:filteredLineSeries>
          </c:ext>
        </c:extLst>
      </c:lineChart>
      <c:catAx>
        <c:axId val="84917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633519"/>
        <c:crosses val="autoZero"/>
        <c:auto val="1"/>
        <c:lblAlgn val="ctr"/>
        <c:lblOffset val="100"/>
        <c:noMultiLvlLbl val="0"/>
      </c:catAx>
      <c:valAx>
        <c:axId val="85263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Index</a:t>
                </a:r>
                <a:r>
                  <a:rPr lang="en-US" baseline="0"/>
                  <a:t> Value (non-VAST)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175183"/>
        <c:crosses val="autoZero"/>
        <c:crossBetween val="between"/>
      </c:valAx>
      <c:valAx>
        <c:axId val="8896189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Index</a:t>
                </a:r>
                <a:r>
                  <a:rPr lang="en-US" baseline="0"/>
                  <a:t> Value (VAST)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615551"/>
        <c:crosses val="max"/>
        <c:crossBetween val="between"/>
      </c:valAx>
      <c:catAx>
        <c:axId val="889615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89618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Min-Max Scaled</a:t>
            </a:r>
            <a:r>
              <a:rPr lang="en-US" baseline="0"/>
              <a:t> (0-1)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'Input Indices'!$AE$1</c:f>
              <c:strCache>
                <c:ptCount val="1"/>
                <c:pt idx="0">
                  <c:v>IDX11_US_RR_GT177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'Input Indices'!$AD$2:$AD$34</c:f>
              <c:numCache>
                <c:formatCode>General</c:formatCode>
                <c:ptCount val="33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</c:numCache>
            </c:numRef>
          </c:cat>
          <c:val>
            <c:numRef>
              <c:f>'Input Indices'!$AE$2:$AE$34</c:f>
              <c:numCache>
                <c:formatCode>General</c:formatCode>
                <c:ptCount val="33"/>
                <c:pt idx="5">
                  <c:v>0.11374598070739549</c:v>
                </c:pt>
                <c:pt idx="6">
                  <c:v>0.14790996784565913</c:v>
                </c:pt>
                <c:pt idx="7">
                  <c:v>0.56953376205787776</c:v>
                </c:pt>
                <c:pt idx="8">
                  <c:v>1</c:v>
                </c:pt>
                <c:pt idx="9">
                  <c:v>0.37017684887459795</c:v>
                </c:pt>
                <c:pt idx="10">
                  <c:v>0.53456591639871376</c:v>
                </c:pt>
                <c:pt idx="11">
                  <c:v>0.52934083601286175</c:v>
                </c:pt>
                <c:pt idx="12">
                  <c:v>0.29180064308681669</c:v>
                </c:pt>
                <c:pt idx="13">
                  <c:v>0.70578778135048237</c:v>
                </c:pt>
                <c:pt idx="14">
                  <c:v>0.6551446945337619</c:v>
                </c:pt>
                <c:pt idx="15">
                  <c:v>0.11937299035369778</c:v>
                </c:pt>
                <c:pt idx="16">
                  <c:v>2.6125401929260442E-2</c:v>
                </c:pt>
                <c:pt idx="17">
                  <c:v>6.7122186495176817E-2</c:v>
                </c:pt>
                <c:pt idx="18">
                  <c:v>5.6270096463022275E-3</c:v>
                </c:pt>
                <c:pt idx="19">
                  <c:v>1.0450160771704154E-2</c:v>
                </c:pt>
                <c:pt idx="20">
                  <c:v>0</c:v>
                </c:pt>
                <c:pt idx="21">
                  <c:v>1.6881028938906712E-2</c:v>
                </c:pt>
                <c:pt idx="22">
                  <c:v>0.14991961414790994</c:v>
                </c:pt>
                <c:pt idx="23">
                  <c:v>0.19774919614147909</c:v>
                </c:pt>
                <c:pt idx="24">
                  <c:v>0.11696141479099681</c:v>
                </c:pt>
                <c:pt idx="25">
                  <c:v>5.7073954983922842E-2</c:v>
                </c:pt>
                <c:pt idx="26">
                  <c:v>8.3601286173633438E-2</c:v>
                </c:pt>
                <c:pt idx="27">
                  <c:v>0.22266881028938904</c:v>
                </c:pt>
                <c:pt idx="28">
                  <c:v>0.33279742765273312</c:v>
                </c:pt>
                <c:pt idx="29">
                  <c:v>0.51929260450160764</c:v>
                </c:pt>
                <c:pt idx="30">
                  <c:v>0.51889067524115751</c:v>
                </c:pt>
                <c:pt idx="31">
                  <c:v>0.60651125401929251</c:v>
                </c:pt>
                <c:pt idx="32">
                  <c:v>0.50482315112540188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71-4215-9382-7AE900A03B42}"/>
            </c:ext>
          </c:extLst>
        </c:ser>
        <c:ser>
          <c:idx val="1"/>
          <c:order val="1"/>
          <c:tx>
            <c:strRef>
              <c:f>'Input Indices'!$AF$1</c:f>
              <c:strCache>
                <c:ptCount val="1"/>
                <c:pt idx="0">
                  <c:v>IDX14_CAN_SWNS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'Input Indices'!$AD$2:$AD$34</c:f>
              <c:numCache>
                <c:formatCode>General</c:formatCode>
                <c:ptCount val="33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</c:numCache>
            </c:numRef>
          </c:cat>
          <c:val>
            <c:numRef>
              <c:f>'Input Indices'!$AF$2:$AF$34</c:f>
              <c:numCache>
                <c:formatCode>General</c:formatCode>
                <c:ptCount val="33"/>
                <c:pt idx="8">
                  <c:v>0.21419902912621355</c:v>
                </c:pt>
                <c:pt idx="9">
                  <c:v>6.0072815533980584E-2</c:v>
                </c:pt>
                <c:pt idx="10">
                  <c:v>0.19538834951456305</c:v>
                </c:pt>
                <c:pt idx="11">
                  <c:v>0.33131067961165045</c:v>
                </c:pt>
                <c:pt idx="12">
                  <c:v>0</c:v>
                </c:pt>
                <c:pt idx="13">
                  <c:v>9.830097087378642E-2</c:v>
                </c:pt>
                <c:pt idx="14">
                  <c:v>7.949029126213597E-2</c:v>
                </c:pt>
                <c:pt idx="15">
                  <c:v>0.11832524271844662</c:v>
                </c:pt>
                <c:pt idx="16">
                  <c:v>0.33131067961165045</c:v>
                </c:pt>
                <c:pt idx="17">
                  <c:v>0.3373786407766991</c:v>
                </c:pt>
                <c:pt idx="18">
                  <c:v>0.47572815533980584</c:v>
                </c:pt>
                <c:pt idx="19">
                  <c:v>0.38470873786407767</c:v>
                </c:pt>
                <c:pt idx="20">
                  <c:v>0.43082524271844674</c:v>
                </c:pt>
                <c:pt idx="21">
                  <c:v>1</c:v>
                </c:pt>
                <c:pt idx="22">
                  <c:v>0.90048543689320404</c:v>
                </c:pt>
                <c:pt idx="23">
                  <c:v>0.68810679611650494</c:v>
                </c:pt>
                <c:pt idx="24">
                  <c:v>0.66019417475728159</c:v>
                </c:pt>
                <c:pt idx="25">
                  <c:v>0.39866504854368934</c:v>
                </c:pt>
                <c:pt idx="26">
                  <c:v>0.50485436893203883</c:v>
                </c:pt>
                <c:pt idx="27">
                  <c:v>0.50485436893203883</c:v>
                </c:pt>
                <c:pt idx="28">
                  <c:v>0.76274271844660213</c:v>
                </c:pt>
                <c:pt idx="29">
                  <c:v>0.7809466019417477</c:v>
                </c:pt>
                <c:pt idx="30">
                  <c:v>0.61043689320388339</c:v>
                </c:pt>
                <c:pt idx="31">
                  <c:v>0.78398058252427183</c:v>
                </c:pt>
                <c:pt idx="32">
                  <c:v>0.98847087378640797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71-4215-9382-7AE900A03B42}"/>
            </c:ext>
          </c:extLst>
        </c:ser>
        <c:ser>
          <c:idx val="4"/>
          <c:order val="4"/>
          <c:tx>
            <c:strRef>
              <c:f>'Input Indices'!$AI$1</c:f>
              <c:strCache>
                <c:ptCount val="1"/>
                <c:pt idx="0">
                  <c:v>IDX20_VAST_Joint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'Input Indices'!$AD$2:$AD$34</c:f>
              <c:numCache>
                <c:formatCode>General</c:formatCode>
                <c:ptCount val="33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</c:numCache>
            </c:numRef>
          </c:cat>
          <c:val>
            <c:numRef>
              <c:f>'Input Indices'!$AI$2:$AI$34</c:f>
              <c:numCache>
                <c:formatCode>General</c:formatCode>
                <c:ptCount val="33"/>
                <c:pt idx="14">
                  <c:v>0.1948684962660289</c:v>
                </c:pt>
                <c:pt idx="15">
                  <c:v>0</c:v>
                </c:pt>
                <c:pt idx="16">
                  <c:v>0.20257382801689888</c:v>
                </c:pt>
                <c:pt idx="17">
                  <c:v>0.27490950535454572</c:v>
                </c:pt>
                <c:pt idx="18">
                  <c:v>0.34009532521013575</c:v>
                </c:pt>
                <c:pt idx="19">
                  <c:v>0.1672982521592295</c:v>
                </c:pt>
                <c:pt idx="20">
                  <c:v>0.12249463997574996</c:v>
                </c:pt>
                <c:pt idx="21">
                  <c:v>0.19050524089903792</c:v>
                </c:pt>
                <c:pt idx="22">
                  <c:v>0.33389040005226728</c:v>
                </c:pt>
                <c:pt idx="23">
                  <c:v>0.32340330451038962</c:v>
                </c:pt>
                <c:pt idx="24">
                  <c:v>0.71298061027761361</c:v>
                </c:pt>
                <c:pt idx="25">
                  <c:v>0.21272868491373417</c:v>
                </c:pt>
                <c:pt idx="26">
                  <c:v>0.38262539531947221</c:v>
                </c:pt>
                <c:pt idx="27">
                  <c:v>0.56460390919814463</c:v>
                </c:pt>
                <c:pt idx="28">
                  <c:v>1</c:v>
                </c:pt>
                <c:pt idx="29">
                  <c:v>0.79778593618310156</c:v>
                </c:pt>
                <c:pt idx="30">
                  <c:v>0.76932938311801669</c:v>
                </c:pt>
                <c:pt idx="31">
                  <c:v>0.89739721088217939</c:v>
                </c:pt>
                <c:pt idx="32">
                  <c:v>0.82897003772593236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71-4215-9382-7AE900A03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634543"/>
        <c:axId val="893421503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'Input Indices'!$AG$1</c15:sqref>
                        </c15:formulaRef>
                      </c:ext>
                    </c:extLst>
                    <c:strCache>
                      <c:ptCount val="1"/>
                      <c:pt idx="0">
                        <c:v>IDX15_CAN_GSL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'Input Indices'!$AD$2:$AD$34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1988</c:v>
                      </c:pt>
                      <c:pt idx="1">
                        <c:v>1989</c:v>
                      </c:pt>
                      <c:pt idx="2">
                        <c:v>1990</c:v>
                      </c:pt>
                      <c:pt idx="3">
                        <c:v>1991</c:v>
                      </c:pt>
                      <c:pt idx="4">
                        <c:v>1992</c:v>
                      </c:pt>
                      <c:pt idx="5">
                        <c:v>1993</c:v>
                      </c:pt>
                      <c:pt idx="6">
                        <c:v>1994</c:v>
                      </c:pt>
                      <c:pt idx="7">
                        <c:v>1995</c:v>
                      </c:pt>
                      <c:pt idx="8">
                        <c:v>1996</c:v>
                      </c:pt>
                      <c:pt idx="9">
                        <c:v>1997</c:v>
                      </c:pt>
                      <c:pt idx="10">
                        <c:v>1998</c:v>
                      </c:pt>
                      <c:pt idx="11">
                        <c:v>1999</c:v>
                      </c:pt>
                      <c:pt idx="12">
                        <c:v>2000</c:v>
                      </c:pt>
                      <c:pt idx="13">
                        <c:v>2001</c:v>
                      </c:pt>
                      <c:pt idx="14">
                        <c:v>2002</c:v>
                      </c:pt>
                      <c:pt idx="15">
                        <c:v>2003</c:v>
                      </c:pt>
                      <c:pt idx="16">
                        <c:v>2004</c:v>
                      </c:pt>
                      <c:pt idx="17">
                        <c:v>2005</c:v>
                      </c:pt>
                      <c:pt idx="18">
                        <c:v>2006</c:v>
                      </c:pt>
                      <c:pt idx="19">
                        <c:v>2007</c:v>
                      </c:pt>
                      <c:pt idx="20">
                        <c:v>2008</c:v>
                      </c:pt>
                      <c:pt idx="21">
                        <c:v>2009</c:v>
                      </c:pt>
                      <c:pt idx="22">
                        <c:v>2010</c:v>
                      </c:pt>
                      <c:pt idx="23">
                        <c:v>2011</c:v>
                      </c:pt>
                      <c:pt idx="24">
                        <c:v>2012</c:v>
                      </c:pt>
                      <c:pt idx="25">
                        <c:v>2013</c:v>
                      </c:pt>
                      <c:pt idx="26">
                        <c:v>2014</c:v>
                      </c:pt>
                      <c:pt idx="27">
                        <c:v>2015</c:v>
                      </c:pt>
                      <c:pt idx="28">
                        <c:v>2016</c:v>
                      </c:pt>
                      <c:pt idx="29">
                        <c:v>2017</c:v>
                      </c:pt>
                      <c:pt idx="30">
                        <c:v>2018</c:v>
                      </c:pt>
                      <c:pt idx="31">
                        <c:v>2019</c:v>
                      </c:pt>
                      <c:pt idx="32">
                        <c:v>2020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'Input Indices'!$AG$2:$AG$34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5.5555555555555594E-2</c:v>
                      </c:pt>
                      <c:pt idx="1">
                        <c:v>4.7619047619047616E-2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0.19047619047619047</c:v>
                      </c:pt>
                      <c:pt idx="5">
                        <c:v>0.32539682539682541</c:v>
                      </c:pt>
                      <c:pt idx="6">
                        <c:v>0.11507936507936507</c:v>
                      </c:pt>
                      <c:pt idx="7">
                        <c:v>0.42063492063492058</c:v>
                      </c:pt>
                      <c:pt idx="8">
                        <c:v>1.1904761904761904E-2</c:v>
                      </c:pt>
                      <c:pt idx="9">
                        <c:v>2.3809523809523808E-2</c:v>
                      </c:pt>
                      <c:pt idx="10">
                        <c:v>7.1428571428571383E-2</c:v>
                      </c:pt>
                      <c:pt idx="11">
                        <c:v>0.13492063492063491</c:v>
                      </c:pt>
                      <c:pt idx="12">
                        <c:v>0.123015873015873</c:v>
                      </c:pt>
                      <c:pt idx="13">
                        <c:v>9.5238095238095233E-2</c:v>
                      </c:pt>
                      <c:pt idx="14">
                        <c:v>0.21428571428571427</c:v>
                      </c:pt>
                      <c:pt idx="15">
                        <c:v>0.25793650793650791</c:v>
                      </c:pt>
                      <c:pt idx="16">
                        <c:v>0.52380952380952372</c:v>
                      </c:pt>
                      <c:pt idx="17">
                        <c:v>0.41666666666666663</c:v>
                      </c:pt>
                      <c:pt idx="18">
                        <c:v>0.3968253968253968</c:v>
                      </c:pt>
                      <c:pt idx="19">
                        <c:v>0.67857142857142849</c:v>
                      </c:pt>
                      <c:pt idx="20">
                        <c:v>0.5357142857142857</c:v>
                      </c:pt>
                      <c:pt idx="21">
                        <c:v>0.83730158730158755</c:v>
                      </c:pt>
                      <c:pt idx="22">
                        <c:v>1</c:v>
                      </c:pt>
                      <c:pt idx="23">
                        <c:v>0.69841269841269837</c:v>
                      </c:pt>
                      <c:pt idx="24">
                        <c:v>0.9365079365079364</c:v>
                      </c:pt>
                      <c:pt idx="25">
                        <c:v>0.90476190476190477</c:v>
                      </c:pt>
                      <c:pt idx="26">
                        <c:v>0.90873015873015883</c:v>
                      </c:pt>
                      <c:pt idx="27">
                        <c:v>0.73412698412698407</c:v>
                      </c:pt>
                      <c:pt idx="28">
                        <c:v>0.92460317460317454</c:v>
                      </c:pt>
                      <c:pt idx="29">
                        <c:v>0.83730158730158755</c:v>
                      </c:pt>
                      <c:pt idx="30">
                        <c:v>0.85317460317460325</c:v>
                      </c:pt>
                      <c:pt idx="31">
                        <c:v>0.88888888888888884</c:v>
                      </c:pt>
                      <c:pt idx="32">
                        <c:v>0.82539682539682535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B71-4215-9382-7AE900A03B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Indices'!$AH$1</c15:sqref>
                        </c15:formulaRef>
                      </c:ext>
                    </c:extLst>
                    <c:strCache>
                      <c:ptCount val="1"/>
                      <c:pt idx="0">
                        <c:v>IDX16_CAN_ACOUSTIC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Indices'!$AD$2:$AD$34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1988</c:v>
                      </c:pt>
                      <c:pt idx="1">
                        <c:v>1989</c:v>
                      </c:pt>
                      <c:pt idx="2">
                        <c:v>1990</c:v>
                      </c:pt>
                      <c:pt idx="3">
                        <c:v>1991</c:v>
                      </c:pt>
                      <c:pt idx="4">
                        <c:v>1992</c:v>
                      </c:pt>
                      <c:pt idx="5">
                        <c:v>1993</c:v>
                      </c:pt>
                      <c:pt idx="6">
                        <c:v>1994</c:v>
                      </c:pt>
                      <c:pt idx="7">
                        <c:v>1995</c:v>
                      </c:pt>
                      <c:pt idx="8">
                        <c:v>1996</c:v>
                      </c:pt>
                      <c:pt idx="9">
                        <c:v>1997</c:v>
                      </c:pt>
                      <c:pt idx="10">
                        <c:v>1998</c:v>
                      </c:pt>
                      <c:pt idx="11">
                        <c:v>1999</c:v>
                      </c:pt>
                      <c:pt idx="12">
                        <c:v>2000</c:v>
                      </c:pt>
                      <c:pt idx="13">
                        <c:v>2001</c:v>
                      </c:pt>
                      <c:pt idx="14">
                        <c:v>2002</c:v>
                      </c:pt>
                      <c:pt idx="15">
                        <c:v>2003</c:v>
                      </c:pt>
                      <c:pt idx="16">
                        <c:v>2004</c:v>
                      </c:pt>
                      <c:pt idx="17">
                        <c:v>2005</c:v>
                      </c:pt>
                      <c:pt idx="18">
                        <c:v>2006</c:v>
                      </c:pt>
                      <c:pt idx="19">
                        <c:v>2007</c:v>
                      </c:pt>
                      <c:pt idx="20">
                        <c:v>2008</c:v>
                      </c:pt>
                      <c:pt idx="21">
                        <c:v>2009</c:v>
                      </c:pt>
                      <c:pt idx="22">
                        <c:v>2010</c:v>
                      </c:pt>
                      <c:pt idx="23">
                        <c:v>2011</c:v>
                      </c:pt>
                      <c:pt idx="24">
                        <c:v>2012</c:v>
                      </c:pt>
                      <c:pt idx="25">
                        <c:v>2013</c:v>
                      </c:pt>
                      <c:pt idx="26">
                        <c:v>2014</c:v>
                      </c:pt>
                      <c:pt idx="27">
                        <c:v>2015</c:v>
                      </c:pt>
                      <c:pt idx="28">
                        <c:v>2016</c:v>
                      </c:pt>
                      <c:pt idx="29">
                        <c:v>2017</c:v>
                      </c:pt>
                      <c:pt idx="30">
                        <c:v>2018</c:v>
                      </c:pt>
                      <c:pt idx="31">
                        <c:v>2019</c:v>
                      </c:pt>
                      <c:pt idx="32">
                        <c:v>2020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Indices'!$AH$2:$AH$34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6">
                        <c:v>8.6419753086419762E-2</c:v>
                      </c:pt>
                      <c:pt idx="7">
                        <c:v>0.18518518518518523</c:v>
                      </c:pt>
                      <c:pt idx="8">
                        <c:v>0.59259259259259256</c:v>
                      </c:pt>
                      <c:pt idx="9">
                        <c:v>0.23456790123456789</c:v>
                      </c:pt>
                      <c:pt idx="10">
                        <c:v>0.28395061728395066</c:v>
                      </c:pt>
                      <c:pt idx="11">
                        <c:v>0.19753086419753088</c:v>
                      </c:pt>
                      <c:pt idx="12">
                        <c:v>0</c:v>
                      </c:pt>
                      <c:pt idx="13">
                        <c:v>0.22222222222222224</c:v>
                      </c:pt>
                      <c:pt idx="14">
                        <c:v>1.2345679012345649E-2</c:v>
                      </c:pt>
                      <c:pt idx="15">
                        <c:v>0.2098765432098765</c:v>
                      </c:pt>
                      <c:pt idx="16">
                        <c:v>0.23456790123456789</c:v>
                      </c:pt>
                      <c:pt idx="17">
                        <c:v>0.39506172839506165</c:v>
                      </c:pt>
                      <c:pt idx="18">
                        <c:v>0.53086419753086411</c:v>
                      </c:pt>
                      <c:pt idx="19">
                        <c:v>0.28395061728395066</c:v>
                      </c:pt>
                      <c:pt idx="20">
                        <c:v>0.18518518518518523</c:v>
                      </c:pt>
                      <c:pt idx="21">
                        <c:v>0.46913580246913578</c:v>
                      </c:pt>
                      <c:pt idx="22">
                        <c:v>0.56790123456790131</c:v>
                      </c:pt>
                      <c:pt idx="23">
                        <c:v>0.38271604938271608</c:v>
                      </c:pt>
                      <c:pt idx="24">
                        <c:v>1</c:v>
                      </c:pt>
                      <c:pt idx="25">
                        <c:v>0.4567901234567901</c:v>
                      </c:pt>
                      <c:pt idx="26">
                        <c:v>0.70370370370370361</c:v>
                      </c:pt>
                      <c:pt idx="27">
                        <c:v>0.69135802469135788</c:v>
                      </c:pt>
                      <c:pt idx="28">
                        <c:v>0.85185185185185175</c:v>
                      </c:pt>
                      <c:pt idx="29">
                        <c:v>0.41975308641975301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B71-4215-9382-7AE900A03B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Indices'!$AJ$1</c15:sqref>
                        </c15:formulaRef>
                      </c:ext>
                    </c:extLst>
                    <c:strCache>
                      <c:ptCount val="1"/>
                      <c:pt idx="0">
                        <c:v>VAST US ONLY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Indices'!$AD$2:$AD$34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1988</c:v>
                      </c:pt>
                      <c:pt idx="1">
                        <c:v>1989</c:v>
                      </c:pt>
                      <c:pt idx="2">
                        <c:v>1990</c:v>
                      </c:pt>
                      <c:pt idx="3">
                        <c:v>1991</c:v>
                      </c:pt>
                      <c:pt idx="4">
                        <c:v>1992</c:v>
                      </c:pt>
                      <c:pt idx="5">
                        <c:v>1993</c:v>
                      </c:pt>
                      <c:pt idx="6">
                        <c:v>1994</c:v>
                      </c:pt>
                      <c:pt idx="7">
                        <c:v>1995</c:v>
                      </c:pt>
                      <c:pt idx="8">
                        <c:v>1996</c:v>
                      </c:pt>
                      <c:pt idx="9">
                        <c:v>1997</c:v>
                      </c:pt>
                      <c:pt idx="10">
                        <c:v>1998</c:v>
                      </c:pt>
                      <c:pt idx="11">
                        <c:v>1999</c:v>
                      </c:pt>
                      <c:pt idx="12">
                        <c:v>2000</c:v>
                      </c:pt>
                      <c:pt idx="13">
                        <c:v>2001</c:v>
                      </c:pt>
                      <c:pt idx="14">
                        <c:v>2002</c:v>
                      </c:pt>
                      <c:pt idx="15">
                        <c:v>2003</c:v>
                      </c:pt>
                      <c:pt idx="16">
                        <c:v>2004</c:v>
                      </c:pt>
                      <c:pt idx="17">
                        <c:v>2005</c:v>
                      </c:pt>
                      <c:pt idx="18">
                        <c:v>2006</c:v>
                      </c:pt>
                      <c:pt idx="19">
                        <c:v>2007</c:v>
                      </c:pt>
                      <c:pt idx="20">
                        <c:v>2008</c:v>
                      </c:pt>
                      <c:pt idx="21">
                        <c:v>2009</c:v>
                      </c:pt>
                      <c:pt idx="22">
                        <c:v>2010</c:v>
                      </c:pt>
                      <c:pt idx="23">
                        <c:v>2011</c:v>
                      </c:pt>
                      <c:pt idx="24">
                        <c:v>2012</c:v>
                      </c:pt>
                      <c:pt idx="25">
                        <c:v>2013</c:v>
                      </c:pt>
                      <c:pt idx="26">
                        <c:v>2014</c:v>
                      </c:pt>
                      <c:pt idx="27">
                        <c:v>2015</c:v>
                      </c:pt>
                      <c:pt idx="28">
                        <c:v>2016</c:v>
                      </c:pt>
                      <c:pt idx="29">
                        <c:v>2017</c:v>
                      </c:pt>
                      <c:pt idx="30">
                        <c:v>2018</c:v>
                      </c:pt>
                      <c:pt idx="31">
                        <c:v>2019</c:v>
                      </c:pt>
                      <c:pt idx="32">
                        <c:v>2020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'Input Indices'!$AJ$2:$AJ$34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14">
                        <c:v>0.6331661937400862</c:v>
                      </c:pt>
                      <c:pt idx="15">
                        <c:v>0.18628586769878958</c:v>
                      </c:pt>
                      <c:pt idx="16">
                        <c:v>5.4552750434211185E-2</c:v>
                      </c:pt>
                      <c:pt idx="17">
                        <c:v>0.1204177703396677</c:v>
                      </c:pt>
                      <c:pt idx="18">
                        <c:v>0.12209886910806672</c:v>
                      </c:pt>
                      <c:pt idx="19">
                        <c:v>0.16127223041553274</c:v>
                      </c:pt>
                      <c:pt idx="20">
                        <c:v>0.16157392045966018</c:v>
                      </c:pt>
                      <c:pt idx="21">
                        <c:v>0.25020577096463859</c:v>
                      </c:pt>
                      <c:pt idx="22">
                        <c:v>0.51621673108963628</c:v>
                      </c:pt>
                      <c:pt idx="23">
                        <c:v>0.36834136459851985</c:v>
                      </c:pt>
                      <c:pt idx="24">
                        <c:v>0.19187942868192204</c:v>
                      </c:pt>
                      <c:pt idx="25">
                        <c:v>0</c:v>
                      </c:pt>
                      <c:pt idx="26">
                        <c:v>0.24514815164892206</c:v>
                      </c:pt>
                      <c:pt idx="27">
                        <c:v>0.33559557421384167</c:v>
                      </c:pt>
                      <c:pt idx="28">
                        <c:v>0.64525716569911873</c:v>
                      </c:pt>
                      <c:pt idx="29">
                        <c:v>0.53169573952625526</c:v>
                      </c:pt>
                      <c:pt idx="30">
                        <c:v>0.75879591594300877</c:v>
                      </c:pt>
                      <c:pt idx="31">
                        <c:v>1</c:v>
                      </c:pt>
                      <c:pt idx="32">
                        <c:v>0.66763697531092303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B71-4215-9382-7AE900A03B42}"/>
                  </c:ext>
                </c:extLst>
              </c15:ser>
            </c15:filteredLineSeries>
          </c:ext>
        </c:extLst>
      </c:lineChart>
      <c:catAx>
        <c:axId val="73963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421503"/>
        <c:crosses val="autoZero"/>
        <c:auto val="1"/>
        <c:lblAlgn val="ctr"/>
        <c:lblOffset val="100"/>
        <c:noMultiLvlLbl val="0"/>
      </c:catAx>
      <c:valAx>
        <c:axId val="89342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3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7.png"/><Relationship Id="rId26" Type="http://schemas.openxmlformats.org/officeDocument/2006/relationships/image" Target="../media/image25.png"/><Relationship Id="rId3" Type="http://schemas.openxmlformats.org/officeDocument/2006/relationships/image" Target="../media/image3.png"/><Relationship Id="rId21" Type="http://schemas.openxmlformats.org/officeDocument/2006/relationships/image" Target="../media/image20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5" Type="http://schemas.openxmlformats.org/officeDocument/2006/relationships/image" Target="../media/image24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9.png"/><Relationship Id="rId29" Type="http://schemas.openxmlformats.org/officeDocument/2006/relationships/image" Target="../media/image28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24" Type="http://schemas.openxmlformats.org/officeDocument/2006/relationships/image" Target="../media/image23.png"/><Relationship Id="rId5" Type="http://schemas.openxmlformats.org/officeDocument/2006/relationships/image" Target="../media/image5.emf"/><Relationship Id="rId15" Type="http://schemas.openxmlformats.org/officeDocument/2006/relationships/chart" Target="../charts/chart2.xml"/><Relationship Id="rId23" Type="http://schemas.openxmlformats.org/officeDocument/2006/relationships/image" Target="../media/image22.emf"/><Relationship Id="rId28" Type="http://schemas.openxmlformats.org/officeDocument/2006/relationships/image" Target="../media/image27.png"/><Relationship Id="rId10" Type="http://schemas.openxmlformats.org/officeDocument/2006/relationships/image" Target="../media/image10.png"/><Relationship Id="rId19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1.png"/><Relationship Id="rId27" Type="http://schemas.openxmlformats.org/officeDocument/2006/relationships/image" Target="../media/image2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27213</xdr:colOff>
      <xdr:row>11</xdr:row>
      <xdr:rowOff>189819</xdr:rowOff>
    </xdr:from>
    <xdr:to>
      <xdr:col>20</xdr:col>
      <xdr:colOff>332013</xdr:colOff>
      <xdr:row>26</xdr:row>
      <xdr:rowOff>75519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B1FF1A-6395-D6A4-6F66-5FCF5C62F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101</xdr:row>
      <xdr:rowOff>0</xdr:rowOff>
    </xdr:from>
    <xdr:to>
      <xdr:col>11</xdr:col>
      <xdr:colOff>616790</xdr:colOff>
      <xdr:row>125</xdr:row>
      <xdr:rowOff>95249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BD3FD14-B635-474D-48A9-48DAC0CA8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1360" y="18516600"/>
          <a:ext cx="5943600" cy="448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367889</xdr:colOff>
      <xdr:row>88</xdr:row>
      <xdr:rowOff>24028</xdr:rowOff>
    </xdr:from>
    <xdr:to>
      <xdr:col>15</xdr:col>
      <xdr:colOff>83840</xdr:colOff>
      <xdr:row>112</xdr:row>
      <xdr:rowOff>134024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20A8608-3EA0-799D-6CBF-789212322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996" y="15971599"/>
          <a:ext cx="5978066" cy="43516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125506</xdr:colOff>
      <xdr:row>16</xdr:row>
      <xdr:rowOff>170330</xdr:rowOff>
    </xdr:from>
    <xdr:to>
      <xdr:col>16</xdr:col>
      <xdr:colOff>177001</xdr:colOff>
      <xdr:row>41</xdr:row>
      <xdr:rowOff>93905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587357-1D40-454E-D5D2-F2BFDFD0C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2847" y="3092824"/>
          <a:ext cx="5945393" cy="4402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430306</xdr:colOff>
      <xdr:row>17</xdr:row>
      <xdr:rowOff>80683</xdr:rowOff>
    </xdr:from>
    <xdr:to>
      <xdr:col>8</xdr:col>
      <xdr:colOff>1222520</xdr:colOff>
      <xdr:row>41</xdr:row>
      <xdr:rowOff>168311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BA7F283-D235-7D39-5FD8-0C03D7290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306" y="3182471"/>
          <a:ext cx="5948082" cy="4379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27</xdr:col>
      <xdr:colOff>15241</xdr:colOff>
      <xdr:row>24</xdr:row>
      <xdr:rowOff>118463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FAF0D6-EE3D-4669-C16F-99B9CB767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7560" y="365760"/>
          <a:ext cx="1836420" cy="407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490185</xdr:colOff>
      <xdr:row>19</xdr:row>
      <xdr:rowOff>44610</xdr:rowOff>
    </xdr:from>
    <xdr:to>
      <xdr:col>7</xdr:col>
      <xdr:colOff>227121</xdr:colOff>
      <xdr:row>20</xdr:row>
      <xdr:rowOff>159675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A2780FB-D3C0-54B2-783D-2D97F960E9BE}"/>
            </a:ext>
          </a:extLst>
        </xdr:cNvPr>
        <xdr:cNvSpPr txBox="1"/>
      </xdr:nvSpPr>
      <xdr:spPr>
        <a:xfrm>
          <a:off x="3089950" y="3504986"/>
          <a:ext cx="1619524" cy="294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US_RR_GT177</a:t>
          </a:r>
        </a:p>
      </xdr:txBody>
    </xdr:sp>
    <xdr:clientData/>
  </xdr:twoCellAnchor>
  <xdr:twoCellAnchor>
    <xdr:from>
      <xdr:col>11</xdr:col>
      <xdr:colOff>872385</xdr:colOff>
      <xdr:row>18</xdr:row>
      <xdr:rowOff>154323</xdr:rowOff>
    </xdr:from>
    <xdr:to>
      <xdr:col>12</xdr:col>
      <xdr:colOff>964332</xdr:colOff>
      <xdr:row>20</xdr:row>
      <xdr:rowOff>79062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839E4E4-083E-4882-9923-9626C310A0E4}"/>
            </a:ext>
          </a:extLst>
        </xdr:cNvPr>
        <xdr:cNvSpPr txBox="1"/>
      </xdr:nvSpPr>
      <xdr:spPr>
        <a:xfrm>
          <a:off x="7882785" y="3435405"/>
          <a:ext cx="1624912" cy="2833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CAN_SWNS</a:t>
          </a:r>
        </a:p>
      </xdr:txBody>
    </xdr:sp>
    <xdr:clientData/>
  </xdr:twoCellAnchor>
  <xdr:twoCellAnchor>
    <xdr:from>
      <xdr:col>12</xdr:col>
      <xdr:colOff>635555</xdr:colOff>
      <xdr:row>94</xdr:row>
      <xdr:rowOff>119425</xdr:rowOff>
    </xdr:from>
    <xdr:to>
      <xdr:col>14</xdr:col>
      <xdr:colOff>304079</xdr:colOff>
      <xdr:row>96</xdr:row>
      <xdr:rowOff>49831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AE30ADC-F33F-4AE5-9B99-2F2C9E519E31}"/>
            </a:ext>
          </a:extLst>
        </xdr:cNvPr>
        <xdr:cNvSpPr txBox="1"/>
      </xdr:nvSpPr>
      <xdr:spPr>
        <a:xfrm>
          <a:off x="9178920" y="17026860"/>
          <a:ext cx="1622830" cy="2889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CAN_GSL</a:t>
          </a:r>
        </a:p>
      </xdr:txBody>
    </xdr:sp>
    <xdr:clientData/>
  </xdr:twoCellAnchor>
  <xdr:twoCellAnchor>
    <xdr:from>
      <xdr:col>8</xdr:col>
      <xdr:colOff>18370</xdr:colOff>
      <xdr:row>102</xdr:row>
      <xdr:rowOff>144947</xdr:rowOff>
    </xdr:from>
    <xdr:to>
      <xdr:col>10</xdr:col>
      <xdr:colOff>251366</xdr:colOff>
      <xdr:row>104</xdr:row>
      <xdr:rowOff>73530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B81CEEE-6FDF-4415-A47A-0ADBCB17F52E}"/>
            </a:ext>
          </a:extLst>
        </xdr:cNvPr>
        <xdr:cNvSpPr txBox="1"/>
      </xdr:nvSpPr>
      <xdr:spPr>
        <a:xfrm>
          <a:off x="5146182" y="18486735"/>
          <a:ext cx="1622525" cy="2871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CAN_Acoustic</a:t>
          </a:r>
        </a:p>
      </xdr:txBody>
    </xdr:sp>
    <xdr:clientData/>
  </xdr:twoCellAnchor>
  <xdr:twoCellAnchor editAs="oneCell">
    <xdr:from>
      <xdr:col>0</xdr:col>
      <xdr:colOff>0</xdr:colOff>
      <xdr:row>7</xdr:row>
      <xdr:rowOff>0</xdr:rowOff>
    </xdr:from>
    <xdr:to>
      <xdr:col>5</xdr:col>
      <xdr:colOff>15240</xdr:colOff>
      <xdr:row>11</xdr:row>
      <xdr:rowOff>57294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181F59-2F1D-68D5-2996-D4A05180D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5880"/>
          <a:ext cx="3268980" cy="784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34</xdr:row>
      <xdr:rowOff>0</xdr:rowOff>
    </xdr:from>
    <xdr:to>
      <xdr:col>36</xdr:col>
      <xdr:colOff>438557</xdr:colOff>
      <xdr:row>47</xdr:row>
      <xdr:rowOff>92543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1C8A52C-8257-FCD5-A5DA-B36B529CE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641671" y="6149788"/>
          <a:ext cx="4709568" cy="2415749"/>
        </a:xfrm>
        <a:prstGeom prst="rect">
          <a:avLst/>
        </a:prstGeom>
      </xdr:spPr>
    </xdr:pic>
    <xdr:clientData/>
  </xdr:twoCellAnchor>
  <xdr:twoCellAnchor editAs="oneCell">
    <xdr:from>
      <xdr:col>28</xdr:col>
      <xdr:colOff>600635</xdr:colOff>
      <xdr:row>47</xdr:row>
      <xdr:rowOff>62752</xdr:rowOff>
    </xdr:from>
    <xdr:to>
      <xdr:col>36</xdr:col>
      <xdr:colOff>324807</xdr:colOff>
      <xdr:row>60</xdr:row>
      <xdr:rowOff>174351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9DDA4D8-CBA9-8BAB-5E53-5BF3A9ECF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632706" y="8543364"/>
          <a:ext cx="4587638" cy="2438611"/>
        </a:xfrm>
        <a:prstGeom prst="rect">
          <a:avLst/>
        </a:prstGeom>
      </xdr:spPr>
    </xdr:pic>
    <xdr:clientData/>
  </xdr:twoCellAnchor>
  <xdr:twoCellAnchor>
    <xdr:from>
      <xdr:col>14</xdr:col>
      <xdr:colOff>257175</xdr:colOff>
      <xdr:row>53</xdr:row>
      <xdr:rowOff>161219</xdr:rowOff>
    </xdr:from>
    <xdr:to>
      <xdr:col>22</xdr:col>
      <xdr:colOff>21602</xdr:colOff>
      <xdr:row>67</xdr:row>
      <xdr:rowOff>22785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C360B36-525F-FED9-C4EE-A038B779F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772775" y="10154305"/>
          <a:ext cx="4641227" cy="2452366"/>
        </a:xfrm>
        <a:prstGeom prst="rect">
          <a:avLst/>
        </a:prstGeom>
      </xdr:spPr>
    </xdr:pic>
    <xdr:clientData/>
  </xdr:twoCellAnchor>
  <xdr:twoCellAnchor>
    <xdr:from>
      <xdr:col>14</xdr:col>
      <xdr:colOff>242047</xdr:colOff>
      <xdr:row>67</xdr:row>
      <xdr:rowOff>15385</xdr:rowOff>
    </xdr:from>
    <xdr:to>
      <xdr:col>21</xdr:col>
      <xdr:colOff>562485</xdr:colOff>
      <xdr:row>80</xdr:row>
      <xdr:rowOff>102855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4691C8B-0D9C-9734-F116-7839E1E96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757647" y="12599271"/>
          <a:ext cx="4587638" cy="2493213"/>
        </a:xfrm>
        <a:prstGeom prst="rect">
          <a:avLst/>
        </a:prstGeom>
      </xdr:spPr>
    </xdr:pic>
    <xdr:clientData/>
  </xdr:twoCellAnchor>
  <xdr:twoCellAnchor>
    <xdr:from>
      <xdr:col>11</xdr:col>
      <xdr:colOff>707569</xdr:colOff>
      <xdr:row>51</xdr:row>
      <xdr:rowOff>75791</xdr:rowOff>
    </xdr:from>
    <xdr:to>
      <xdr:col>17</xdr:col>
      <xdr:colOff>199993</xdr:colOff>
      <xdr:row>65</xdr:row>
      <xdr:rowOff>133779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401620E-3365-7EE4-827C-99CFFBBFC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8855" y="9698762"/>
          <a:ext cx="4815538" cy="2648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685799</xdr:colOff>
      <xdr:row>65</xdr:row>
      <xdr:rowOff>104193</xdr:rowOff>
    </xdr:from>
    <xdr:to>
      <xdr:col>16</xdr:col>
      <xdr:colOff>536709</xdr:colOff>
      <xdr:row>78</xdr:row>
      <xdr:rowOff>151837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8E55979-9C58-0CCD-17A9-96CE12E02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07085" y="12317964"/>
          <a:ext cx="4564424" cy="2453387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</xdr:row>
      <xdr:rowOff>0</xdr:rowOff>
    </xdr:from>
    <xdr:to>
      <xdr:col>45</xdr:col>
      <xdr:colOff>246690</xdr:colOff>
      <xdr:row>48</xdr:row>
      <xdr:rowOff>130648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002F669-4C5D-0BB5-4F48-A63039582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737671" y="6329082"/>
          <a:ext cx="4610500" cy="2453853"/>
        </a:xfrm>
        <a:prstGeom prst="rect">
          <a:avLst/>
        </a:prstGeom>
      </xdr:spPr>
    </xdr:pic>
    <xdr:clientData/>
  </xdr:twoCellAnchor>
  <xdr:twoCellAnchor editAs="oneCell">
    <xdr:from>
      <xdr:col>38</xdr:col>
      <xdr:colOff>546848</xdr:colOff>
      <xdr:row>48</xdr:row>
      <xdr:rowOff>89647</xdr:rowOff>
    </xdr:from>
    <xdr:to>
      <xdr:col>45</xdr:col>
      <xdr:colOff>16577</xdr:colOff>
      <xdr:row>62</xdr:row>
      <xdr:rowOff>60057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2316FE0-F887-4A6C-39C5-3977565EF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674919" y="8749553"/>
          <a:ext cx="4694327" cy="2491956"/>
        </a:xfrm>
        <a:prstGeom prst="rect">
          <a:avLst/>
        </a:prstGeom>
      </xdr:spPr>
    </xdr:pic>
    <xdr:clientData/>
  </xdr:twoCellAnchor>
  <xdr:twoCellAnchor>
    <xdr:from>
      <xdr:col>29</xdr:col>
      <xdr:colOff>582706</xdr:colOff>
      <xdr:row>48</xdr:row>
      <xdr:rowOff>107576</xdr:rowOff>
    </xdr:from>
    <xdr:to>
      <xdr:col>32</xdr:col>
      <xdr:colOff>378818</xdr:colOff>
      <xdr:row>50</xdr:row>
      <xdr:rowOff>32316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20A8C20-CCE6-4EFE-93BE-F70B2C6F1496}"/>
            </a:ext>
          </a:extLst>
        </xdr:cNvPr>
        <xdr:cNvSpPr txBox="1"/>
      </xdr:nvSpPr>
      <xdr:spPr>
        <a:xfrm>
          <a:off x="20224377" y="8767482"/>
          <a:ext cx="1624912" cy="2833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CAN_SWNS</a:t>
          </a:r>
        </a:p>
      </xdr:txBody>
    </xdr:sp>
    <xdr:clientData/>
  </xdr:twoCellAnchor>
  <xdr:twoCellAnchor>
    <xdr:from>
      <xdr:col>39</xdr:col>
      <xdr:colOff>591671</xdr:colOff>
      <xdr:row>49</xdr:row>
      <xdr:rowOff>161365</xdr:rowOff>
    </xdr:from>
    <xdr:to>
      <xdr:col>42</xdr:col>
      <xdr:colOff>387783</xdr:colOff>
      <xdr:row>51</xdr:row>
      <xdr:rowOff>86105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6FA93B7-487C-496C-BCE3-C167FCE4F255}"/>
            </a:ext>
          </a:extLst>
        </xdr:cNvPr>
        <xdr:cNvSpPr txBox="1"/>
      </xdr:nvSpPr>
      <xdr:spPr>
        <a:xfrm>
          <a:off x="26329342" y="9000565"/>
          <a:ext cx="1624912" cy="2833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CAN_SWNS</a:t>
          </a:r>
        </a:p>
      </xdr:txBody>
    </xdr:sp>
    <xdr:clientData/>
  </xdr:twoCellAnchor>
  <xdr:twoCellAnchor>
    <xdr:from>
      <xdr:col>43</xdr:col>
      <xdr:colOff>107576</xdr:colOff>
      <xdr:row>36</xdr:row>
      <xdr:rowOff>35859</xdr:rowOff>
    </xdr:from>
    <xdr:to>
      <xdr:col>45</xdr:col>
      <xdr:colOff>513288</xdr:colOff>
      <xdr:row>37</xdr:row>
      <xdr:rowOff>139892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14F7579-C479-4CB8-9BBF-CB8925D86F04}"/>
            </a:ext>
          </a:extLst>
        </xdr:cNvPr>
        <xdr:cNvSpPr txBox="1"/>
      </xdr:nvSpPr>
      <xdr:spPr>
        <a:xfrm>
          <a:off x="28283647" y="6544235"/>
          <a:ext cx="1624912" cy="2833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US_RR_GT177</a:t>
          </a:r>
        </a:p>
      </xdr:txBody>
    </xdr:sp>
    <xdr:clientData/>
  </xdr:twoCellAnchor>
  <xdr:twoCellAnchor>
    <xdr:from>
      <xdr:col>33</xdr:col>
      <xdr:colOff>80682</xdr:colOff>
      <xdr:row>35</xdr:row>
      <xdr:rowOff>17930</xdr:rowOff>
    </xdr:from>
    <xdr:to>
      <xdr:col>35</xdr:col>
      <xdr:colOff>486394</xdr:colOff>
      <xdr:row>36</xdr:row>
      <xdr:rowOff>121964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3843BEB-154C-4CCC-8E0D-89262C607F8B}"/>
            </a:ext>
          </a:extLst>
        </xdr:cNvPr>
        <xdr:cNvSpPr txBox="1"/>
      </xdr:nvSpPr>
      <xdr:spPr>
        <a:xfrm>
          <a:off x="22160753" y="6347012"/>
          <a:ext cx="1624912" cy="2833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US_RR_GT177</a:t>
          </a:r>
        </a:p>
      </xdr:txBody>
    </xdr:sp>
    <xdr:clientData/>
  </xdr:twoCellAnchor>
  <xdr:twoCellAnchor>
    <xdr:from>
      <xdr:col>27</xdr:col>
      <xdr:colOff>16809</xdr:colOff>
      <xdr:row>3</xdr:row>
      <xdr:rowOff>124385</xdr:rowOff>
    </xdr:from>
    <xdr:to>
      <xdr:col>34</xdr:col>
      <xdr:colOff>352985</xdr:colOff>
      <xdr:row>17</xdr:row>
      <xdr:rowOff>110938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131A8F-2695-B8B1-A5BC-8CD579E2A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0</xdr:colOff>
      <xdr:row>61</xdr:row>
      <xdr:rowOff>163286</xdr:rowOff>
    </xdr:from>
    <xdr:to>
      <xdr:col>44</xdr:col>
      <xdr:colOff>78677</xdr:colOff>
      <xdr:row>89</xdr:row>
      <xdr:rowOff>41818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F352DF4D-8CAF-9D57-703D-01C085F44155}"/>
            </a:ext>
          </a:extLst>
        </xdr:cNvPr>
        <xdr:cNvGrpSpPr/>
      </xdr:nvGrpSpPr>
      <xdr:grpSpPr>
        <a:xfrm>
          <a:off x="21069300" y="12040961"/>
          <a:ext cx="10032302" cy="5212532"/>
          <a:chOff x="19471821" y="11892643"/>
          <a:chExt cx="9263499" cy="5212532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B77500DC-FF17-347F-CBA4-FDEAD1C78B00}"/>
              </a:ext>
            </a:extLst>
          </xdr:cNvPr>
          <xdr:cNvGrpSpPr/>
        </xdr:nvGrpSpPr>
        <xdr:grpSpPr>
          <a:xfrm>
            <a:off x="19471821" y="11892643"/>
            <a:ext cx="9263499" cy="5212532"/>
            <a:chOff x="19471821" y="11892643"/>
            <a:chExt cx="9263499" cy="5212532"/>
          </a:xfrm>
        </xdr:grpSpPr>
        <xdr:pic>
          <xdr:nvPicPr>
            <xdr:cNvPr id="46" name="Picture 45">
              <a:extLst>
                <a:ext uri="{FF2B5EF4-FFF2-40B4-BE49-F238E27FC236}">
                  <a16:creationId xmlns:a16="http://schemas.microsoft.com/office/drawing/2014/main" id="{8E385299-F9AC-50A8-FDDB-E105E0C954E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9471821" y="11909212"/>
              <a:ext cx="4739446" cy="5136545"/>
            </a:xfrm>
            <a:prstGeom prst="rect">
              <a:avLst/>
            </a:prstGeom>
          </xdr:spPr>
        </xdr:pic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6EC3B5D8-F614-3F89-C1E7-EA332A691EF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4016607" y="11892643"/>
              <a:ext cx="4718713" cy="5212532"/>
            </a:xfrm>
            <a:prstGeom prst="rect">
              <a:avLst/>
            </a:prstGeom>
          </xdr:spPr>
        </xdr:pic>
      </xdr:grp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DDABD582-F1DA-4C86-82F6-0FF7A394E87F}"/>
              </a:ext>
            </a:extLst>
          </xdr:cNvPr>
          <xdr:cNvSpPr txBox="1"/>
        </xdr:nvSpPr>
        <xdr:spPr>
          <a:xfrm>
            <a:off x="26465893" y="12123964"/>
            <a:ext cx="1630355" cy="29453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/>
              <a:t>US_RR_GT177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A0CEB859-2D1B-44FA-91F2-F1430C013FF8}"/>
              </a:ext>
            </a:extLst>
          </xdr:cNvPr>
          <xdr:cNvSpPr txBox="1"/>
        </xdr:nvSpPr>
        <xdr:spPr>
          <a:xfrm>
            <a:off x="24914679" y="14695714"/>
            <a:ext cx="1633076" cy="3057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/>
              <a:t>CAN_SWNS</a:t>
            </a:r>
          </a:p>
        </xdr:txBody>
      </xdr:sp>
    </xdr:grpSp>
    <xdr:clientData/>
  </xdr:twoCellAnchor>
  <xdr:twoCellAnchor editAs="oneCell">
    <xdr:from>
      <xdr:col>87</xdr:col>
      <xdr:colOff>480060</xdr:colOff>
      <xdr:row>1</xdr:row>
      <xdr:rowOff>0</xdr:rowOff>
    </xdr:from>
    <xdr:to>
      <xdr:col>99</xdr:col>
      <xdr:colOff>167641</xdr:colOff>
      <xdr:row>23</xdr:row>
      <xdr:rowOff>8313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5CA1B37B-C027-A9B9-A50F-DFA0712F2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3880" y="182880"/>
          <a:ext cx="6995160" cy="394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55</xdr:col>
      <xdr:colOff>11673</xdr:colOff>
      <xdr:row>0</xdr:row>
      <xdr:rowOff>86101</xdr:rowOff>
    </xdr:from>
    <xdr:to>
      <xdr:col>63</xdr:col>
      <xdr:colOff>205998</xdr:colOff>
      <xdr:row>15</xdr:row>
      <xdr:rowOff>157633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2C550B23-D6EE-1EBD-A8B8-07057A152E96}"/>
            </a:ext>
          </a:extLst>
        </xdr:cNvPr>
        <xdr:cNvGrpSpPr/>
      </xdr:nvGrpSpPr>
      <xdr:grpSpPr>
        <a:xfrm>
          <a:off x="39159423" y="86101"/>
          <a:ext cx="5071125" cy="3186207"/>
          <a:chOff x="37754119" y="86101"/>
          <a:chExt cx="5071125" cy="2849901"/>
        </a:xfrm>
      </xdr:grpSpPr>
      <xdr:pic>
        <xdr:nvPicPr>
          <xdr:cNvPr id="50" name="Picture 49">
            <a:extLst>
              <a:ext uri="{FF2B5EF4-FFF2-40B4-BE49-F238E27FC236}">
                <a16:creationId xmlns:a16="http://schemas.microsoft.com/office/drawing/2014/main" id="{56AFAB6C-994D-39EE-05AD-63F79DA715B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260509" y="86101"/>
            <a:ext cx="2551477" cy="142150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1" name="Picture 50">
            <a:extLst>
              <a:ext uri="{FF2B5EF4-FFF2-40B4-BE49-F238E27FC236}">
                <a16:creationId xmlns:a16="http://schemas.microsoft.com/office/drawing/2014/main" id="{FB6CFBE4-C8C2-6A95-DBB4-0EA9835FFB8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754119" y="107402"/>
            <a:ext cx="2618977" cy="139887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58" name="Group 57">
            <a:extLst>
              <a:ext uri="{FF2B5EF4-FFF2-40B4-BE49-F238E27FC236}">
                <a16:creationId xmlns:a16="http://schemas.microsoft.com/office/drawing/2014/main" id="{4E20C5A2-D4E4-8033-6730-0D91DEDFF083}"/>
              </a:ext>
            </a:extLst>
          </xdr:cNvPr>
          <xdr:cNvGrpSpPr/>
        </xdr:nvGrpSpPr>
        <xdr:grpSpPr>
          <a:xfrm>
            <a:off x="37758249" y="1495249"/>
            <a:ext cx="2523937" cy="1410250"/>
            <a:chOff x="37758249" y="1495249"/>
            <a:chExt cx="2523937" cy="1410250"/>
          </a:xfrm>
        </xdr:grpSpPr>
        <xdr:pic>
          <xdr:nvPicPr>
            <xdr:cNvPr id="54" name="Picture 53">
              <a:extLst>
                <a:ext uri="{FF2B5EF4-FFF2-40B4-BE49-F238E27FC236}">
                  <a16:creationId xmlns:a16="http://schemas.microsoft.com/office/drawing/2014/main" id="{BF6410ED-2C54-9380-5A15-51FD8B702D6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7758249" y="1495249"/>
              <a:ext cx="2523937" cy="141025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DEBBB8F1-0616-976E-93DE-9DC1386435D2}"/>
                </a:ext>
              </a:extLst>
            </xdr:cNvPr>
            <xdr:cNvSpPr/>
          </xdr:nvSpPr>
          <xdr:spPr>
            <a:xfrm>
              <a:off x="39331958" y="1533653"/>
              <a:ext cx="932329" cy="181708"/>
            </a:xfrm>
            <a:prstGeom prst="rect">
              <a:avLst/>
            </a:prstGeom>
            <a:noFill/>
            <a:ln>
              <a:solidFill>
                <a:schemeClr val="bg2">
                  <a:lumMod val="9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800" b="1">
                  <a:solidFill>
                    <a:sysClr val="windowText" lastClr="000000"/>
                  </a:solidFill>
                  <a:latin typeface="+mn-lt"/>
                  <a:cs typeface="Times New Roman" panose="02020603050405020304" pitchFamily="18" charset="0"/>
                </a:rPr>
                <a:t>VAST US Only</a:t>
              </a:r>
            </a:p>
          </xdr:txBody>
        </xdr:sp>
      </xdr:grpSp>
      <xdr:grpSp>
        <xdr:nvGrpSpPr>
          <xdr:cNvPr id="62" name="Group 61">
            <a:extLst>
              <a:ext uri="{FF2B5EF4-FFF2-40B4-BE49-F238E27FC236}">
                <a16:creationId xmlns:a16="http://schemas.microsoft.com/office/drawing/2014/main" id="{2F1BB57F-CFAC-EEB6-BB12-F5C51AB61F27}"/>
              </a:ext>
            </a:extLst>
          </xdr:cNvPr>
          <xdr:cNvGrpSpPr/>
        </xdr:nvGrpSpPr>
        <xdr:grpSpPr>
          <a:xfrm>
            <a:off x="40273767" y="1518818"/>
            <a:ext cx="2551477" cy="1417184"/>
            <a:chOff x="40273767" y="1518818"/>
            <a:chExt cx="2551477" cy="1417184"/>
          </a:xfrm>
        </xdr:grpSpPr>
        <xdr:pic>
          <xdr:nvPicPr>
            <xdr:cNvPr id="52" name="Picture 51">
              <a:extLst>
                <a:ext uri="{FF2B5EF4-FFF2-40B4-BE49-F238E27FC236}">
                  <a16:creationId xmlns:a16="http://schemas.microsoft.com/office/drawing/2014/main" id="{21FFE1CE-BA30-8FD5-359B-622494F387A4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0273767" y="1518818"/>
              <a:ext cx="2551477" cy="141718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AEBA3DE6-14E2-478E-B8A6-C7C20174CE30}"/>
                </a:ext>
              </a:extLst>
            </xdr:cNvPr>
            <xdr:cNvSpPr/>
          </xdr:nvSpPr>
          <xdr:spPr>
            <a:xfrm>
              <a:off x="41346602" y="1565030"/>
              <a:ext cx="932329" cy="153779"/>
            </a:xfrm>
            <a:prstGeom prst="rect">
              <a:avLst/>
            </a:prstGeom>
            <a:noFill/>
            <a:ln>
              <a:solidFill>
                <a:schemeClr val="bg2">
                  <a:lumMod val="9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800" b="1">
                  <a:solidFill>
                    <a:sysClr val="windowText" lastClr="000000"/>
                  </a:solidFill>
                  <a:latin typeface="+mn-lt"/>
                  <a:cs typeface="Times New Roman" panose="02020603050405020304" pitchFamily="18" charset="0"/>
                </a:rPr>
                <a:t>VAST</a:t>
              </a:r>
              <a:r>
                <a:rPr lang="en-US" sz="800" b="1" baseline="0">
                  <a:solidFill>
                    <a:sysClr val="windowText" lastClr="000000"/>
                  </a:solidFill>
                  <a:latin typeface="+mn-lt"/>
                  <a:cs typeface="Times New Roman" panose="02020603050405020304" pitchFamily="18" charset="0"/>
                </a:rPr>
                <a:t> Joint</a:t>
              </a:r>
              <a:endParaRPr lang="en-US" sz="800" b="1">
                <a:solidFill>
                  <a:sysClr val="windowText" lastClr="000000"/>
                </a:solidFill>
                <a:latin typeface="+mn-lt"/>
                <a:cs typeface="Times New Roman" panose="02020603050405020304" pitchFamily="18" charset="0"/>
              </a:endParaRPr>
            </a:p>
          </xdr:txBody>
        </xdr:sp>
      </xdr:grpSp>
    </xdr:grpSp>
    <xdr:clientData/>
  </xdr:twoCellAnchor>
  <xdr:twoCellAnchor editAs="oneCell">
    <xdr:from>
      <xdr:col>46</xdr:col>
      <xdr:colOff>0</xdr:colOff>
      <xdr:row>30</xdr:row>
      <xdr:rowOff>0</xdr:rowOff>
    </xdr:from>
    <xdr:to>
      <xdr:col>50</xdr:col>
      <xdr:colOff>7619</xdr:colOff>
      <xdr:row>38</xdr:row>
      <xdr:rowOff>7620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C209A3DD-08C3-F0E9-7115-B69E593C3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75300" y="5661660"/>
          <a:ext cx="3810000" cy="1470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805542</xdr:colOff>
      <xdr:row>44</xdr:row>
      <xdr:rowOff>152400</xdr:rowOff>
    </xdr:from>
    <xdr:to>
      <xdr:col>11</xdr:col>
      <xdr:colOff>383719</xdr:colOff>
      <xdr:row>57</xdr:row>
      <xdr:rowOff>138357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8E2F843-AB48-E0A3-8A80-CB8E5A480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9913" y="8479971"/>
          <a:ext cx="4825092" cy="239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576943</xdr:colOff>
      <xdr:row>46</xdr:row>
      <xdr:rowOff>76199</xdr:rowOff>
    </xdr:from>
    <xdr:to>
      <xdr:col>8</xdr:col>
      <xdr:colOff>696686</xdr:colOff>
      <xdr:row>47</xdr:row>
      <xdr:rowOff>141514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D50FD12A-C208-FD2E-B859-B5B249A2440F}"/>
            </a:ext>
          </a:extLst>
        </xdr:cNvPr>
        <xdr:cNvSpPr/>
      </xdr:nvSpPr>
      <xdr:spPr>
        <a:xfrm>
          <a:off x="4452257" y="8773885"/>
          <a:ext cx="1382486" cy="25037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VAST</a:t>
          </a:r>
          <a:r>
            <a:rPr lang="en-US" sz="1100" b="1" baseline="0">
              <a:solidFill>
                <a:sysClr val="windowText" lastClr="000000"/>
              </a:solidFill>
            </a:rPr>
            <a:t> US ONLY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57693</xdr:colOff>
      <xdr:row>39</xdr:row>
      <xdr:rowOff>151040</xdr:rowOff>
    </xdr:from>
    <xdr:to>
      <xdr:col>22</xdr:col>
      <xdr:colOff>429328</xdr:colOff>
      <xdr:row>53</xdr:row>
      <xdr:rowOff>84323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F2168EA2-2991-9F6C-4F10-C8E27097A8F4}"/>
            </a:ext>
          </a:extLst>
        </xdr:cNvPr>
        <xdr:cNvGrpSpPr/>
      </xdr:nvGrpSpPr>
      <xdr:grpSpPr>
        <a:xfrm>
          <a:off x="12592593" y="7837715"/>
          <a:ext cx="4638835" cy="2600283"/>
          <a:chOff x="10812779" y="7673069"/>
          <a:chExt cx="4638835" cy="2524083"/>
        </a:xfrm>
      </xdr:grpSpPr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5DB2C8B9-B883-C154-D4E0-DCE78B4F4A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0812779" y="7673069"/>
            <a:ext cx="4638835" cy="2524083"/>
          </a:xfrm>
          <a:prstGeom prst="rect">
            <a:avLst/>
          </a:prstGeom>
        </xdr:spPr>
      </xdr:pic>
      <xdr:sp macro="" textlink="">
        <xdr:nvSpPr>
          <xdr:cNvPr id="103" name="Rectangle 102">
            <a:extLst>
              <a:ext uri="{FF2B5EF4-FFF2-40B4-BE49-F238E27FC236}">
                <a16:creationId xmlns:a16="http://schemas.microsoft.com/office/drawing/2014/main" id="{52EA886D-7E7B-443D-9C8A-847611602558}"/>
              </a:ext>
            </a:extLst>
          </xdr:cNvPr>
          <xdr:cNvSpPr/>
        </xdr:nvSpPr>
        <xdr:spPr>
          <a:xfrm>
            <a:off x="12605657" y="7772399"/>
            <a:ext cx="1382486" cy="250372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</a:rPr>
              <a:t>VAST</a:t>
            </a:r>
            <a:r>
              <a:rPr lang="en-US" sz="1100" b="1" baseline="0">
                <a:solidFill>
                  <a:sysClr val="windowText" lastClr="000000"/>
                </a:solidFill>
              </a:rPr>
              <a:t> Joint</a:t>
            </a:r>
            <a:endParaRPr lang="en-US" sz="11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69</xdr:col>
      <xdr:colOff>1076325</xdr:colOff>
      <xdr:row>94</xdr:row>
      <xdr:rowOff>0</xdr:rowOff>
    </xdr:from>
    <xdr:to>
      <xdr:col>73</xdr:col>
      <xdr:colOff>533400</xdr:colOff>
      <xdr:row>96</xdr:row>
      <xdr:rowOff>123825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61172A9-570F-1D6C-56BB-01EEA4282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34675" y="18307050"/>
          <a:ext cx="257175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542925</xdr:colOff>
      <xdr:row>94</xdr:row>
      <xdr:rowOff>0</xdr:rowOff>
    </xdr:from>
    <xdr:to>
      <xdr:col>78</xdr:col>
      <xdr:colOff>66675</xdr:colOff>
      <xdr:row>96</xdr:row>
      <xdr:rowOff>114300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D64510B-B012-C65E-B3FE-5041D896A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15950" y="18307050"/>
          <a:ext cx="257175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0</xdr:colOff>
      <xdr:row>94</xdr:row>
      <xdr:rowOff>0</xdr:rowOff>
    </xdr:from>
    <xdr:to>
      <xdr:col>50</xdr:col>
      <xdr:colOff>284247</xdr:colOff>
      <xdr:row>136</xdr:row>
      <xdr:rowOff>62326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ED60AFFF-D866-1621-28E8-2E28C2EA7989}"/>
            </a:ext>
          </a:extLst>
        </xdr:cNvPr>
        <xdr:cNvGrpSpPr/>
      </xdr:nvGrpSpPr>
      <xdr:grpSpPr>
        <a:xfrm>
          <a:off x="21678900" y="18164175"/>
          <a:ext cx="14543172" cy="8063326"/>
          <a:chOff x="19933227" y="18305318"/>
          <a:chExt cx="14502475" cy="8063326"/>
        </a:xfrm>
      </xdr:grpSpPr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AD1BAACF-7797-4E1B-3E06-2443D3BE204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933227" y="18305318"/>
            <a:ext cx="7189726" cy="40386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E2C23EFA-8B10-86EE-B968-401FDD99D9A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467879" y="22358619"/>
            <a:ext cx="7214058" cy="40100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84C790C7-224E-46E8-9E5A-E2F351A2C670}"/>
              </a:ext>
            </a:extLst>
          </xdr:cNvPr>
          <xdr:cNvSpPr txBox="1"/>
        </xdr:nvSpPr>
        <xdr:spPr>
          <a:xfrm>
            <a:off x="26330899" y="22531428"/>
            <a:ext cx="2415673" cy="35106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/>
              <a:t>Joint</a:t>
            </a:r>
            <a:r>
              <a:rPr lang="en-US" sz="2000" b="1" baseline="0"/>
              <a:t> US/CAN VAST</a:t>
            </a:r>
            <a:endParaRPr lang="en-US" sz="2000" b="1"/>
          </a:p>
        </xdr:txBody>
      </xdr:sp>
      <xdr:pic>
        <xdr:nvPicPr>
          <xdr:cNvPr id="43" name="Picture 42">
            <a:extLst>
              <a:ext uri="{FF2B5EF4-FFF2-40B4-BE49-F238E27FC236}">
                <a16:creationId xmlns:a16="http://schemas.microsoft.com/office/drawing/2014/main" id="{69AF62F1-A016-4C2B-8D12-0B157F96FA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27051000" y="18305318"/>
            <a:ext cx="7384702" cy="4052455"/>
          </a:xfrm>
          <a:prstGeom prst="rect">
            <a:avLst/>
          </a:prstGeom>
        </xdr:spPr>
      </xdr:pic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E31EC73B-F422-45E4-9B31-50DA1B4B25D1}"/>
              </a:ext>
            </a:extLst>
          </xdr:cNvPr>
          <xdr:cNvSpPr txBox="1"/>
        </xdr:nvSpPr>
        <xdr:spPr>
          <a:xfrm>
            <a:off x="30404818" y="18479110"/>
            <a:ext cx="1981156" cy="46460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/>
              <a:t>US &gt;177cm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35</xdr:row>
      <xdr:rowOff>90486</xdr:rowOff>
    </xdr:from>
    <xdr:to>
      <xdr:col>15</xdr:col>
      <xdr:colOff>1076325</xdr:colOff>
      <xdr:row>57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D2D13A-46A8-5D9A-73EB-C234FB84B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285749</xdr:colOff>
      <xdr:row>35</xdr:row>
      <xdr:rowOff>128587</xdr:rowOff>
    </xdr:from>
    <xdr:to>
      <xdr:col>28</xdr:col>
      <xdr:colOff>104774</xdr:colOff>
      <xdr:row>58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E2E8CE-A7A7-4E06-A2F7-F91992455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35</xdr:row>
      <xdr:rowOff>42861</xdr:rowOff>
    </xdr:from>
    <xdr:to>
      <xdr:col>5</xdr:col>
      <xdr:colOff>476250</xdr:colOff>
      <xdr:row>56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310731-922C-B2C3-8A1A-C3A4E05EE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38100</xdr:colOff>
      <xdr:row>36</xdr:row>
      <xdr:rowOff>185736</xdr:rowOff>
    </xdr:from>
    <xdr:to>
      <xdr:col>38</xdr:col>
      <xdr:colOff>190500</xdr:colOff>
      <xdr:row>56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26F0BB-5E21-53BE-5AE9-745E5C109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EFEE51-2384-45C0-9C55-8E4B634DD828}" name="Table1" displayName="Table1" ref="A3:E6" headerRowCount="0" totalsRowShown="0">
  <tableColumns count="5">
    <tableColumn id="1" xr3:uid="{2AC64173-FB2A-4377-AF5A-330010562230}" name="Column1" headerRowDxfId="20" dataDxfId="19"/>
    <tableColumn id="2" xr3:uid="{8D6E1028-5FF1-4BB5-9358-69F851DD1DDB}" name="Column2"/>
    <tableColumn id="5" xr3:uid="{F0DC2BBB-40F5-435E-966A-EDCCC9CECF98}" name="Column5"/>
    <tableColumn id="3" xr3:uid="{5D3C1766-A3F3-4F8C-A2C5-7C70AD2F1620}" name="Column3"/>
    <tableColumn id="4" xr3:uid="{1596350C-30AE-49F6-A3C1-078A4116C98B}" name="Column4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2EACC7-1D8C-4757-8907-7D719A9CD257}" name="Table4" displayName="Table4" ref="AU3:AY9" totalsRowShown="0">
  <autoFilter ref="AU3:AY9" xr:uid="{562EACC7-1D8C-4757-8907-7D719A9CD25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1A21200-FC46-4793-9AD1-A9E8E2734332}" name="Index Name"/>
    <tableColumn id="2" xr3:uid="{983370BE-EF4C-49FC-A35B-2A5508858C92}" name="&quot;No Env.&quot;" dataDxfId="18"/>
    <tableColumn id="3" xr3:uid="{74863BE2-D8F7-4720-8B87-BA2AE2F8B6AD}" name="&quot;Covariate&quot;" dataDxfId="17"/>
    <tableColumn id="4" xr3:uid="{189C89EA-52F8-4187-AA40-6C6FE8434DFE}" name="VAST US_ONLY" dataDxfId="16"/>
    <tableColumn id="5" xr3:uid="{B4618776-A8A3-46B0-9FF5-C8D567FA12C5}" name="VAST Joint" dataDxfId="15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461455-1E11-4531-9EF9-A36D587E2D87}" name="Table48" displayName="Table48" ref="AU23:AX29" totalsRowShown="0">
  <autoFilter ref="AU23:AX29" xr:uid="{0E461455-1E11-4531-9EF9-A36D587E2D87}">
    <filterColumn colId="0" hiddenButton="1"/>
    <filterColumn colId="1" hiddenButton="1"/>
    <filterColumn colId="2" hiddenButton="1"/>
    <filterColumn colId="3" hiddenButton="1"/>
  </autoFilter>
  <tableColumns count="4">
    <tableColumn id="1" xr3:uid="{825B475F-6B59-442A-9254-C2509723B9CE}" name="Index Name" dataDxfId="14"/>
    <tableColumn id="2" xr3:uid="{75BB8405-9611-473A-8244-52B677D7E020}" name="&quot;Covariate&quot;" dataDxfId="13"/>
    <tableColumn id="3" xr3:uid="{2BD36397-5A5C-46EB-98FA-66FAB9EFB383}" name="VAST  US_ONLY" dataDxfId="12"/>
    <tableColumn id="4" xr3:uid="{6DE951E7-5A8C-4549-BD59-3F0D10922271}" name="VAST Joint" dataDxfId="11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6AB193-9483-4DDE-B4D9-2F7461DF1A91}" name="Table2" displayName="Table2" ref="I3:L6" totalsRowShown="0" headerRowDxfId="10" dataDxfId="9" tableBorderDxfId="8">
  <autoFilter ref="I3:L6" xr:uid="{606AB193-9483-4DDE-B4D9-2F7461DF1A91}">
    <filterColumn colId="0" hiddenButton="1"/>
    <filterColumn colId="1" hiddenButton="1"/>
    <filterColumn colId="2" hiddenButton="1"/>
    <filterColumn colId="3" hiddenButton="1"/>
  </autoFilter>
  <tableColumns count="4">
    <tableColumn id="1" xr3:uid="{C5C8DFCE-692E-415C-BF10-9E9A12D8A2AB}" name=" " dataDxfId="7"/>
    <tableColumn id="2" xr3:uid="{0400DE04-EA20-481C-B9D2-A030D42E8D70}" name="No Env." dataDxfId="6"/>
    <tableColumn id="3" xr3:uid="{B7BE958E-6F8E-4574-88F6-5D6A78C0867B}" name="Covariate (% change)" dataDxfId="5"/>
    <tableColumn id="4" xr3:uid="{CCCA7216-2E4B-4E5C-9C4F-62B526060E7B}" name="VAST Joint (% change)" dataDxfId="4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7D3C425-9CAA-425F-850F-CC7438469CE3}" name="Table9" displayName="Table9" ref="I11:L14" totalsRowShown="0">
  <autoFilter ref="I11:L14" xr:uid="{67D3C425-9CAA-425F-850F-CC7438469CE3}">
    <filterColumn colId="0" hiddenButton="1"/>
    <filterColumn colId="1" hiddenButton="1"/>
    <filterColumn colId="2" hiddenButton="1"/>
    <filterColumn colId="3" hiddenButton="1"/>
  </autoFilter>
  <tableColumns count="4">
    <tableColumn id="1" xr3:uid="{BBD87DB6-22C7-44BB-AFD1-A484C5581567}" name=" " dataDxfId="3"/>
    <tableColumn id="2" xr3:uid="{AECD3C4A-AA38-49F9-AE51-DD883D97C99F}" name="SSB" dataDxfId="2"/>
    <tableColumn id="3" xr3:uid="{FF254462-D028-4F9E-8ADE-CBE92A3C4B5F}" name="F(10-20)" dataDxfId="1"/>
    <tableColumn id="4" xr3:uid="{087A4561-CC2C-4729-A3FE-1FE500CC5AFC}" name="Rec (1000's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29F1-1053-449E-B48F-948B0B430080}">
  <dimension ref="A1:C43"/>
  <sheetViews>
    <sheetView zoomScale="70" zoomScaleNormal="70" workbookViewId="0">
      <selection activeCell="C2" sqref="C2:C41"/>
    </sheetView>
  </sheetViews>
  <sheetFormatPr defaultRowHeight="15" x14ac:dyDescent="0.25"/>
  <sheetData>
    <row r="1" spans="1:3" x14ac:dyDescent="0.25">
      <c r="A1" t="s">
        <v>2</v>
      </c>
      <c r="B1" t="s">
        <v>5</v>
      </c>
      <c r="C1" t="s">
        <v>3</v>
      </c>
    </row>
    <row r="2" spans="1:3" x14ac:dyDescent="0.25">
      <c r="A2" s="2">
        <v>1985</v>
      </c>
      <c r="B2">
        <v>2</v>
      </c>
      <c r="C2">
        <v>26.507300000000001</v>
      </c>
    </row>
    <row r="3" spans="1:3" x14ac:dyDescent="0.25">
      <c r="A3" s="2">
        <v>1986</v>
      </c>
      <c r="B3">
        <v>2</v>
      </c>
      <c r="C3">
        <v>26.4754</v>
      </c>
    </row>
    <row r="4" spans="1:3" x14ac:dyDescent="0.25">
      <c r="A4" s="2">
        <v>1987</v>
      </c>
      <c r="B4">
        <v>2</v>
      </c>
      <c r="C4">
        <v>26.174299999999999</v>
      </c>
    </row>
    <row r="5" spans="1:3" x14ac:dyDescent="0.25">
      <c r="A5" s="2">
        <v>1988</v>
      </c>
      <c r="B5">
        <v>2</v>
      </c>
      <c r="C5">
        <v>25.948699999999999</v>
      </c>
    </row>
    <row r="6" spans="1:3" x14ac:dyDescent="0.25">
      <c r="A6" s="2">
        <v>1989</v>
      </c>
      <c r="B6">
        <v>2</v>
      </c>
      <c r="C6">
        <v>26.2898</v>
      </c>
    </row>
    <row r="7" spans="1:3" x14ac:dyDescent="0.25">
      <c r="A7" s="2">
        <v>1990</v>
      </c>
      <c r="B7">
        <v>2</v>
      </c>
      <c r="C7">
        <v>26.404599999999999</v>
      </c>
    </row>
    <row r="8" spans="1:3" x14ac:dyDescent="0.25">
      <c r="A8" s="2">
        <v>1991</v>
      </c>
      <c r="B8">
        <v>2</v>
      </c>
      <c r="C8">
        <v>26.407499999999999</v>
      </c>
    </row>
    <row r="9" spans="1:3" x14ac:dyDescent="0.25">
      <c r="A9" s="2">
        <v>1992</v>
      </c>
      <c r="B9">
        <v>2</v>
      </c>
      <c r="C9">
        <v>26.0578</v>
      </c>
    </row>
    <row r="10" spans="1:3" x14ac:dyDescent="0.25">
      <c r="A10" s="2">
        <v>1993</v>
      </c>
      <c r="B10">
        <v>2</v>
      </c>
      <c r="C10">
        <v>26.203099999999999</v>
      </c>
    </row>
    <row r="11" spans="1:3" x14ac:dyDescent="0.25">
      <c r="A11" s="2">
        <v>1994</v>
      </c>
      <c r="B11">
        <v>2</v>
      </c>
      <c r="C11">
        <v>26.452200000000001</v>
      </c>
    </row>
    <row r="12" spans="1:3" x14ac:dyDescent="0.25">
      <c r="A12" s="2">
        <v>1995</v>
      </c>
      <c r="B12">
        <v>2</v>
      </c>
      <c r="C12">
        <v>26.549700000000001</v>
      </c>
    </row>
    <row r="13" spans="1:3" x14ac:dyDescent="0.25">
      <c r="A13" s="2">
        <v>1996</v>
      </c>
      <c r="B13">
        <v>2</v>
      </c>
      <c r="C13">
        <v>25.974699999999999</v>
      </c>
    </row>
    <row r="14" spans="1:3" x14ac:dyDescent="0.25">
      <c r="A14" s="2">
        <v>1997</v>
      </c>
      <c r="B14">
        <v>2</v>
      </c>
      <c r="C14">
        <v>26.293700000000001</v>
      </c>
    </row>
    <row r="15" spans="1:3" x14ac:dyDescent="0.25">
      <c r="A15" s="2">
        <v>1998</v>
      </c>
      <c r="B15">
        <v>2</v>
      </c>
      <c r="C15">
        <v>26.390999999999998</v>
      </c>
    </row>
    <row r="16" spans="1:3" x14ac:dyDescent="0.25">
      <c r="A16" s="2">
        <v>1999</v>
      </c>
      <c r="B16">
        <v>2</v>
      </c>
      <c r="C16">
        <v>26.5747</v>
      </c>
    </row>
    <row r="17" spans="1:3" x14ac:dyDescent="0.25">
      <c r="A17" s="2">
        <v>2000</v>
      </c>
      <c r="B17">
        <v>2</v>
      </c>
      <c r="C17">
        <v>26.4924</v>
      </c>
    </row>
    <row r="18" spans="1:3" x14ac:dyDescent="0.25">
      <c r="A18" s="2">
        <v>2001</v>
      </c>
      <c r="B18">
        <v>2</v>
      </c>
      <c r="C18">
        <v>26.3462</v>
      </c>
    </row>
    <row r="19" spans="1:3" x14ac:dyDescent="0.25">
      <c r="A19" s="2">
        <v>2002</v>
      </c>
      <c r="B19">
        <v>2</v>
      </c>
      <c r="C19">
        <v>26.5809</v>
      </c>
    </row>
    <row r="20" spans="1:3" x14ac:dyDescent="0.25">
      <c r="A20" s="2">
        <v>2003</v>
      </c>
      <c r="B20">
        <v>2</v>
      </c>
      <c r="C20">
        <v>26.367599999999999</v>
      </c>
    </row>
    <row r="21" spans="1:3" x14ac:dyDescent="0.25">
      <c r="A21" s="2">
        <v>2004</v>
      </c>
      <c r="B21">
        <v>2</v>
      </c>
      <c r="C21">
        <v>26.392600000000002</v>
      </c>
    </row>
    <row r="22" spans="1:3" x14ac:dyDescent="0.25">
      <c r="A22" s="2">
        <v>2005</v>
      </c>
      <c r="B22">
        <v>2</v>
      </c>
      <c r="C22">
        <v>26.398199999999999</v>
      </c>
    </row>
    <row r="23" spans="1:3" x14ac:dyDescent="0.25">
      <c r="A23" s="2">
        <v>2006</v>
      </c>
      <c r="B23">
        <v>2</v>
      </c>
      <c r="C23">
        <v>26.628299999999999</v>
      </c>
    </row>
    <row r="24" spans="1:3" x14ac:dyDescent="0.25">
      <c r="A24" s="2">
        <v>2007</v>
      </c>
      <c r="B24">
        <v>2</v>
      </c>
      <c r="C24">
        <v>26.5762</v>
      </c>
    </row>
    <row r="25" spans="1:3" x14ac:dyDescent="0.25">
      <c r="A25" s="2">
        <v>2008</v>
      </c>
      <c r="B25">
        <v>2</v>
      </c>
      <c r="C25">
        <v>26.417300000000001</v>
      </c>
    </row>
    <row r="26" spans="1:3" x14ac:dyDescent="0.25">
      <c r="A26" s="2">
        <v>2009</v>
      </c>
      <c r="B26">
        <v>2</v>
      </c>
      <c r="C26">
        <v>26.650300000000001</v>
      </c>
    </row>
    <row r="27" spans="1:3" x14ac:dyDescent="0.25">
      <c r="A27" s="2">
        <v>2010</v>
      </c>
      <c r="B27">
        <v>2</v>
      </c>
      <c r="C27">
        <v>25.980899999999998</v>
      </c>
    </row>
    <row r="28" spans="1:3" x14ac:dyDescent="0.25">
      <c r="A28" s="2">
        <v>2011</v>
      </c>
      <c r="B28">
        <v>2</v>
      </c>
      <c r="C28">
        <v>26.466799999999999</v>
      </c>
    </row>
    <row r="29" spans="1:3" x14ac:dyDescent="0.25">
      <c r="A29" s="2">
        <v>2012</v>
      </c>
      <c r="B29">
        <v>2</v>
      </c>
      <c r="C29">
        <v>26.7699</v>
      </c>
    </row>
    <row r="30" spans="1:3" x14ac:dyDescent="0.25">
      <c r="A30" s="2">
        <v>2013</v>
      </c>
      <c r="B30">
        <v>2</v>
      </c>
      <c r="C30">
        <v>26.450600000000001</v>
      </c>
    </row>
    <row r="31" spans="1:3" x14ac:dyDescent="0.25">
      <c r="A31" s="2">
        <v>2014</v>
      </c>
      <c r="B31">
        <v>2</v>
      </c>
      <c r="C31">
        <v>26.414200000000001</v>
      </c>
    </row>
    <row r="32" spans="1:3" x14ac:dyDescent="0.25">
      <c r="A32" s="2">
        <v>2015</v>
      </c>
      <c r="B32">
        <v>2</v>
      </c>
      <c r="C32">
        <v>26.998100000000001</v>
      </c>
    </row>
    <row r="33" spans="1:3" x14ac:dyDescent="0.25">
      <c r="A33" s="2">
        <v>2016</v>
      </c>
      <c r="B33">
        <v>2</v>
      </c>
      <c r="C33">
        <v>27.158899999999999</v>
      </c>
    </row>
    <row r="34" spans="1:3" x14ac:dyDescent="0.25">
      <c r="A34" s="2">
        <v>2017</v>
      </c>
      <c r="B34">
        <v>2</v>
      </c>
      <c r="C34">
        <v>26.7501</v>
      </c>
    </row>
    <row r="35" spans="1:3" x14ac:dyDescent="0.25">
      <c r="A35" s="2">
        <v>2018</v>
      </c>
      <c r="B35">
        <v>2</v>
      </c>
      <c r="C35">
        <v>26.425599999999999</v>
      </c>
    </row>
    <row r="36" spans="1:3" x14ac:dyDescent="0.25">
      <c r="A36" s="2">
        <v>2019</v>
      </c>
      <c r="B36">
        <v>2</v>
      </c>
      <c r="C36">
        <v>26.5303</v>
      </c>
    </row>
    <row r="37" spans="1:3" x14ac:dyDescent="0.25">
      <c r="A37" s="2">
        <v>2020</v>
      </c>
      <c r="B37">
        <v>2</v>
      </c>
      <c r="C37">
        <v>26.619800000000001</v>
      </c>
    </row>
    <row r="38" spans="1:3" x14ac:dyDescent="0.25">
      <c r="A38" s="2">
        <v>2021</v>
      </c>
      <c r="B38">
        <v>2</v>
      </c>
      <c r="C38">
        <v>26.418399999999998</v>
      </c>
    </row>
    <row r="39" spans="1:3" x14ac:dyDescent="0.25">
      <c r="A39" s="2">
        <v>2022</v>
      </c>
      <c r="B39">
        <v>2</v>
      </c>
      <c r="C39">
        <v>26.607800000000001</v>
      </c>
    </row>
    <row r="40" spans="1:3" x14ac:dyDescent="0.25">
      <c r="A40" s="2">
        <v>2023</v>
      </c>
      <c r="B40">
        <v>2</v>
      </c>
      <c r="C40">
        <v>27.0121</v>
      </c>
    </row>
    <row r="41" spans="1:3" x14ac:dyDescent="0.25">
      <c r="A41" s="2">
        <v>2024</v>
      </c>
      <c r="B41">
        <v>2</v>
      </c>
      <c r="C41">
        <v>27.0075</v>
      </c>
    </row>
    <row r="43" spans="1:3" ht="15.75" x14ac:dyDescent="0.25">
      <c r="A43" s="3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4660-12D1-454A-85EC-76BD7E65B07F}">
  <dimension ref="A1:C72"/>
  <sheetViews>
    <sheetView workbookViewId="0">
      <selection activeCell="C1" sqref="C1"/>
    </sheetView>
  </sheetViews>
  <sheetFormatPr defaultRowHeight="15" x14ac:dyDescent="0.25"/>
  <sheetData>
    <row r="1" spans="1:3" ht="45.75" x14ac:dyDescent="0.25">
      <c r="B1" s="1" t="s">
        <v>1</v>
      </c>
      <c r="C1" t="s">
        <v>0</v>
      </c>
    </row>
    <row r="2" spans="1:3" x14ac:dyDescent="0.25">
      <c r="A2">
        <v>1950</v>
      </c>
      <c r="B2">
        <v>948312</v>
      </c>
      <c r="C2">
        <f t="shared" ref="C2:C33" si="0">B2/1000000</f>
        <v>0.94831200000000004</v>
      </c>
    </row>
    <row r="3" spans="1:3" x14ac:dyDescent="0.25">
      <c r="A3">
        <v>1951</v>
      </c>
      <c r="B3">
        <v>906005</v>
      </c>
      <c r="C3">
        <f t="shared" si="0"/>
        <v>0.90600499999999995</v>
      </c>
    </row>
    <row r="4" spans="1:3" x14ac:dyDescent="0.25">
      <c r="A4">
        <v>1952</v>
      </c>
      <c r="B4">
        <v>850853</v>
      </c>
      <c r="C4">
        <f t="shared" si="0"/>
        <v>0.85085299999999997</v>
      </c>
    </row>
    <row r="5" spans="1:3" x14ac:dyDescent="0.25">
      <c r="A5">
        <v>1953</v>
      </c>
      <c r="B5">
        <v>791021</v>
      </c>
      <c r="C5">
        <f t="shared" si="0"/>
        <v>0.79102099999999997</v>
      </c>
    </row>
    <row r="6" spans="1:3" x14ac:dyDescent="0.25">
      <c r="A6">
        <v>1954</v>
      </c>
      <c r="B6">
        <v>731864</v>
      </c>
      <c r="C6">
        <f t="shared" si="0"/>
        <v>0.73186399999999996</v>
      </c>
    </row>
    <row r="7" spans="1:3" x14ac:dyDescent="0.25">
      <c r="A7">
        <v>1955</v>
      </c>
      <c r="B7">
        <v>665532</v>
      </c>
      <c r="C7">
        <f t="shared" si="0"/>
        <v>0.66553200000000001</v>
      </c>
    </row>
    <row r="8" spans="1:3" x14ac:dyDescent="0.25">
      <c r="A8">
        <v>1956</v>
      </c>
      <c r="B8">
        <v>611613</v>
      </c>
      <c r="C8">
        <f t="shared" si="0"/>
        <v>0.61161299999999996</v>
      </c>
    </row>
    <row r="9" spans="1:3" x14ac:dyDescent="0.25">
      <c r="A9">
        <v>1957</v>
      </c>
      <c r="B9">
        <v>554599</v>
      </c>
      <c r="C9">
        <f t="shared" si="0"/>
        <v>0.55459899999999995</v>
      </c>
    </row>
    <row r="10" spans="1:3" x14ac:dyDescent="0.25">
      <c r="A10">
        <v>1958</v>
      </c>
      <c r="B10">
        <v>503476</v>
      </c>
      <c r="C10">
        <f t="shared" si="0"/>
        <v>0.50347600000000003</v>
      </c>
    </row>
    <row r="11" spans="1:3" x14ac:dyDescent="0.25">
      <c r="A11">
        <v>1959</v>
      </c>
      <c r="B11">
        <v>462140</v>
      </c>
      <c r="C11">
        <f t="shared" si="0"/>
        <v>0.46214</v>
      </c>
    </row>
    <row r="12" spans="1:3" x14ac:dyDescent="0.25">
      <c r="A12">
        <v>1960</v>
      </c>
      <c r="B12">
        <v>422455</v>
      </c>
      <c r="C12">
        <f t="shared" si="0"/>
        <v>0.42245500000000002</v>
      </c>
    </row>
    <row r="13" spans="1:3" x14ac:dyDescent="0.25">
      <c r="A13">
        <v>1961</v>
      </c>
      <c r="B13">
        <v>385462</v>
      </c>
      <c r="C13">
        <f t="shared" si="0"/>
        <v>0.38546200000000003</v>
      </c>
    </row>
    <row r="14" spans="1:3" x14ac:dyDescent="0.25">
      <c r="A14">
        <v>1962</v>
      </c>
      <c r="B14">
        <v>348694</v>
      </c>
      <c r="C14">
        <f t="shared" si="0"/>
        <v>0.348694</v>
      </c>
    </row>
    <row r="15" spans="1:3" x14ac:dyDescent="0.25">
      <c r="A15">
        <v>1963</v>
      </c>
      <c r="B15">
        <v>325627</v>
      </c>
      <c r="C15">
        <f t="shared" si="0"/>
        <v>0.325627</v>
      </c>
    </row>
    <row r="16" spans="1:3" x14ac:dyDescent="0.25">
      <c r="A16">
        <v>1964</v>
      </c>
      <c r="B16">
        <v>303115</v>
      </c>
      <c r="C16">
        <f t="shared" si="0"/>
        <v>0.30311500000000002</v>
      </c>
    </row>
    <row r="17" spans="1:3" x14ac:dyDescent="0.25">
      <c r="A17">
        <v>1965</v>
      </c>
      <c r="B17">
        <v>283127</v>
      </c>
      <c r="C17">
        <f t="shared" si="0"/>
        <v>0.28312700000000002</v>
      </c>
    </row>
    <row r="18" spans="1:3" x14ac:dyDescent="0.25">
      <c r="A18">
        <v>1966</v>
      </c>
      <c r="B18">
        <v>269193</v>
      </c>
      <c r="C18">
        <f t="shared" si="0"/>
        <v>0.26919300000000002</v>
      </c>
    </row>
    <row r="19" spans="1:3" x14ac:dyDescent="0.25">
      <c r="A19">
        <v>1967</v>
      </c>
      <c r="B19">
        <v>251332</v>
      </c>
      <c r="C19">
        <f t="shared" si="0"/>
        <v>0.251332</v>
      </c>
    </row>
    <row r="20" spans="1:3" x14ac:dyDescent="0.25">
      <c r="A20">
        <v>1968</v>
      </c>
      <c r="B20">
        <v>241577</v>
      </c>
      <c r="C20">
        <f t="shared" si="0"/>
        <v>0.24157699999999999</v>
      </c>
    </row>
    <row r="21" spans="1:3" x14ac:dyDescent="0.25">
      <c r="A21">
        <v>1969</v>
      </c>
      <c r="B21">
        <v>227349</v>
      </c>
      <c r="C21">
        <f t="shared" si="0"/>
        <v>0.227349</v>
      </c>
    </row>
    <row r="22" spans="1:3" x14ac:dyDescent="0.25">
      <c r="A22">
        <v>1970</v>
      </c>
      <c r="B22">
        <v>217305</v>
      </c>
      <c r="C22">
        <f t="shared" si="0"/>
        <v>0.217305</v>
      </c>
    </row>
    <row r="23" spans="1:3" x14ac:dyDescent="0.25">
      <c r="A23">
        <v>1971</v>
      </c>
      <c r="B23">
        <v>209343</v>
      </c>
      <c r="C23">
        <f t="shared" si="0"/>
        <v>0.209343</v>
      </c>
    </row>
    <row r="24" spans="1:3" x14ac:dyDescent="0.25">
      <c r="A24">
        <v>1972</v>
      </c>
      <c r="B24">
        <v>201616</v>
      </c>
      <c r="C24">
        <f t="shared" si="0"/>
        <v>0.20161599999999999</v>
      </c>
    </row>
    <row r="25" spans="1:3" x14ac:dyDescent="0.25">
      <c r="A25">
        <v>1973</v>
      </c>
      <c r="B25">
        <v>196387</v>
      </c>
      <c r="C25">
        <f t="shared" si="0"/>
        <v>0.19638700000000001</v>
      </c>
    </row>
    <row r="26" spans="1:3" x14ac:dyDescent="0.25">
      <c r="A26">
        <v>1974</v>
      </c>
      <c r="B26">
        <v>183091</v>
      </c>
      <c r="C26">
        <f t="shared" si="0"/>
        <v>0.183091</v>
      </c>
    </row>
    <row r="27" spans="1:3" x14ac:dyDescent="0.25">
      <c r="A27">
        <v>1975</v>
      </c>
      <c r="B27">
        <v>171307</v>
      </c>
      <c r="C27">
        <f t="shared" si="0"/>
        <v>0.17130699999999999</v>
      </c>
    </row>
    <row r="28" spans="1:3" x14ac:dyDescent="0.25">
      <c r="A28">
        <v>1976</v>
      </c>
      <c r="B28">
        <v>160201</v>
      </c>
      <c r="C28">
        <f t="shared" si="0"/>
        <v>0.16020100000000001</v>
      </c>
    </row>
    <row r="29" spans="1:3" x14ac:dyDescent="0.25">
      <c r="A29">
        <v>1977</v>
      </c>
      <c r="B29">
        <v>156965</v>
      </c>
      <c r="C29">
        <f t="shared" si="0"/>
        <v>0.15696499999999999</v>
      </c>
    </row>
    <row r="30" spans="1:3" x14ac:dyDescent="0.25">
      <c r="A30">
        <v>1978</v>
      </c>
      <c r="B30">
        <v>154088</v>
      </c>
      <c r="C30">
        <f t="shared" si="0"/>
        <v>0.154088</v>
      </c>
    </row>
    <row r="31" spans="1:3" x14ac:dyDescent="0.25">
      <c r="A31">
        <v>1979</v>
      </c>
      <c r="B31">
        <v>152885</v>
      </c>
      <c r="C31">
        <f t="shared" si="0"/>
        <v>0.15288499999999999</v>
      </c>
    </row>
    <row r="32" spans="1:3" x14ac:dyDescent="0.25">
      <c r="A32">
        <v>1980</v>
      </c>
      <c r="B32">
        <v>149085</v>
      </c>
      <c r="C32">
        <f t="shared" si="0"/>
        <v>0.149085</v>
      </c>
    </row>
    <row r="33" spans="1:3" x14ac:dyDescent="0.25">
      <c r="A33">
        <v>1981</v>
      </c>
      <c r="B33">
        <v>146804</v>
      </c>
      <c r="C33">
        <f t="shared" si="0"/>
        <v>0.14680399999999999</v>
      </c>
    </row>
    <row r="34" spans="1:3" x14ac:dyDescent="0.25">
      <c r="A34">
        <v>1982</v>
      </c>
      <c r="B34">
        <v>137017</v>
      </c>
      <c r="C34">
        <f t="shared" ref="C34:C65" si="1">B34/1000000</f>
        <v>0.137017</v>
      </c>
    </row>
    <row r="35" spans="1:3" x14ac:dyDescent="0.25">
      <c r="A35">
        <v>1983</v>
      </c>
      <c r="B35">
        <v>128455</v>
      </c>
      <c r="C35">
        <f t="shared" si="1"/>
        <v>0.12845500000000001</v>
      </c>
    </row>
    <row r="36" spans="1:3" x14ac:dyDescent="0.25">
      <c r="A36">
        <v>1984</v>
      </c>
      <c r="B36">
        <v>117831</v>
      </c>
      <c r="C36">
        <f t="shared" si="1"/>
        <v>0.11783100000000001</v>
      </c>
    </row>
    <row r="37" spans="1:3" x14ac:dyDescent="0.25">
      <c r="A37">
        <v>1985</v>
      </c>
      <c r="B37">
        <v>109679</v>
      </c>
      <c r="C37">
        <f t="shared" si="1"/>
        <v>0.109679</v>
      </c>
    </row>
    <row r="38" spans="1:3" x14ac:dyDescent="0.25">
      <c r="A38">
        <v>1986</v>
      </c>
      <c r="B38">
        <v>105891</v>
      </c>
      <c r="C38">
        <f t="shared" si="1"/>
        <v>0.105891</v>
      </c>
    </row>
    <row r="39" spans="1:3" x14ac:dyDescent="0.25">
      <c r="A39">
        <v>1987</v>
      </c>
      <c r="B39">
        <v>103146</v>
      </c>
      <c r="C39">
        <f t="shared" si="1"/>
        <v>0.103146</v>
      </c>
    </row>
    <row r="40" spans="1:3" x14ac:dyDescent="0.25">
      <c r="A40">
        <v>1988</v>
      </c>
      <c r="B40">
        <v>96442</v>
      </c>
      <c r="C40">
        <f t="shared" si="1"/>
        <v>9.6442E-2</v>
      </c>
    </row>
    <row r="41" spans="1:3" x14ac:dyDescent="0.25">
      <c r="A41">
        <v>1989</v>
      </c>
      <c r="B41">
        <v>95675</v>
      </c>
      <c r="C41">
        <f t="shared" si="1"/>
        <v>9.5674999999999996E-2</v>
      </c>
    </row>
    <row r="42" spans="1:3" x14ac:dyDescent="0.25">
      <c r="A42">
        <v>1990</v>
      </c>
      <c r="B42">
        <v>94336</v>
      </c>
      <c r="C42">
        <f t="shared" si="1"/>
        <v>9.4336000000000003E-2</v>
      </c>
    </row>
    <row r="43" spans="1:3" x14ac:dyDescent="0.25">
      <c r="A43">
        <v>1991</v>
      </c>
      <c r="B43">
        <v>97337</v>
      </c>
      <c r="C43">
        <f t="shared" si="1"/>
        <v>9.7337000000000007E-2</v>
      </c>
    </row>
    <row r="44" spans="1:3" x14ac:dyDescent="0.25">
      <c r="A44">
        <v>1992</v>
      </c>
      <c r="B44">
        <v>103931</v>
      </c>
      <c r="C44">
        <f t="shared" si="1"/>
        <v>0.103931</v>
      </c>
    </row>
    <row r="45" spans="1:3" x14ac:dyDescent="0.25">
      <c r="A45">
        <v>1993</v>
      </c>
      <c r="B45">
        <v>118599</v>
      </c>
      <c r="C45">
        <f t="shared" si="1"/>
        <v>0.118599</v>
      </c>
    </row>
    <row r="46" spans="1:3" x14ac:dyDescent="0.25">
      <c r="A46">
        <v>1994</v>
      </c>
      <c r="B46">
        <v>122636</v>
      </c>
      <c r="C46">
        <f t="shared" si="1"/>
        <v>0.122636</v>
      </c>
    </row>
    <row r="47" spans="1:3" x14ac:dyDescent="0.25">
      <c r="A47">
        <v>1995</v>
      </c>
      <c r="B47">
        <v>119190</v>
      </c>
      <c r="C47">
        <f t="shared" si="1"/>
        <v>0.11919</v>
      </c>
    </row>
    <row r="48" spans="1:3" x14ac:dyDescent="0.25">
      <c r="A48">
        <v>1996</v>
      </c>
      <c r="B48">
        <v>119528</v>
      </c>
      <c r="C48">
        <f t="shared" si="1"/>
        <v>0.119528</v>
      </c>
    </row>
    <row r="49" spans="1:3" x14ac:dyDescent="0.25">
      <c r="A49">
        <v>1997</v>
      </c>
      <c r="B49">
        <v>124364</v>
      </c>
      <c r="C49">
        <f t="shared" si="1"/>
        <v>0.124364</v>
      </c>
    </row>
    <row r="50" spans="1:3" x14ac:dyDescent="0.25">
      <c r="A50">
        <v>1998</v>
      </c>
      <c r="B50">
        <v>133042</v>
      </c>
      <c r="C50">
        <f t="shared" si="1"/>
        <v>0.13304199999999999</v>
      </c>
    </row>
    <row r="51" spans="1:3" x14ac:dyDescent="0.25">
      <c r="A51">
        <v>1999</v>
      </c>
      <c r="B51">
        <v>132804</v>
      </c>
      <c r="C51">
        <f t="shared" si="1"/>
        <v>0.13280400000000001</v>
      </c>
    </row>
    <row r="52" spans="1:3" x14ac:dyDescent="0.25">
      <c r="A52">
        <v>2000</v>
      </c>
      <c r="B52">
        <v>130192</v>
      </c>
      <c r="C52">
        <f t="shared" si="1"/>
        <v>0.130192</v>
      </c>
    </row>
    <row r="53" spans="1:3" x14ac:dyDescent="0.25">
      <c r="A53">
        <v>2001</v>
      </c>
      <c r="B53">
        <v>125693</v>
      </c>
      <c r="C53">
        <f t="shared" si="1"/>
        <v>0.125693</v>
      </c>
    </row>
    <row r="54" spans="1:3" x14ac:dyDescent="0.25">
      <c r="A54">
        <v>2002</v>
      </c>
      <c r="B54">
        <v>120564</v>
      </c>
      <c r="C54">
        <f t="shared" si="1"/>
        <v>0.120564</v>
      </c>
    </row>
    <row r="55" spans="1:3" x14ac:dyDescent="0.25">
      <c r="A55">
        <v>2003</v>
      </c>
      <c r="B55">
        <v>118414</v>
      </c>
      <c r="C55">
        <f t="shared" si="1"/>
        <v>0.11841400000000001</v>
      </c>
    </row>
    <row r="56" spans="1:3" x14ac:dyDescent="0.25">
      <c r="A56">
        <v>2004</v>
      </c>
      <c r="B56">
        <v>114524</v>
      </c>
      <c r="C56">
        <f t="shared" si="1"/>
        <v>0.114524</v>
      </c>
    </row>
    <row r="57" spans="1:3" x14ac:dyDescent="0.25">
      <c r="A57">
        <v>2005</v>
      </c>
      <c r="B57">
        <v>114978</v>
      </c>
      <c r="C57">
        <f t="shared" si="1"/>
        <v>0.114978</v>
      </c>
    </row>
    <row r="58" spans="1:3" x14ac:dyDescent="0.25">
      <c r="A58">
        <v>2006</v>
      </c>
      <c r="B58">
        <v>117273</v>
      </c>
      <c r="C58">
        <f t="shared" si="1"/>
        <v>0.117273</v>
      </c>
    </row>
    <row r="59" spans="1:3" x14ac:dyDescent="0.25">
      <c r="A59">
        <v>2007</v>
      </c>
      <c r="B59">
        <v>114069</v>
      </c>
      <c r="C59">
        <f t="shared" si="1"/>
        <v>0.114069</v>
      </c>
    </row>
    <row r="60" spans="1:3" x14ac:dyDescent="0.25">
      <c r="A60">
        <v>2008</v>
      </c>
      <c r="B60">
        <v>132993</v>
      </c>
      <c r="C60">
        <f t="shared" si="1"/>
        <v>0.132993</v>
      </c>
    </row>
    <row r="61" spans="1:3" x14ac:dyDescent="0.25">
      <c r="A61">
        <v>2009</v>
      </c>
      <c r="B61">
        <v>160552</v>
      </c>
      <c r="C61">
        <f t="shared" si="1"/>
        <v>0.160552</v>
      </c>
    </row>
    <row r="62" spans="1:3" x14ac:dyDescent="0.25">
      <c r="A62">
        <v>2010</v>
      </c>
      <c r="B62">
        <v>196484</v>
      </c>
      <c r="C62">
        <f t="shared" si="1"/>
        <v>0.19648399999999999</v>
      </c>
    </row>
    <row r="63" spans="1:3" x14ac:dyDescent="0.25">
      <c r="A63">
        <v>2011</v>
      </c>
      <c r="B63">
        <v>228182</v>
      </c>
      <c r="C63">
        <f t="shared" si="1"/>
        <v>0.228182</v>
      </c>
    </row>
    <row r="64" spans="1:3" x14ac:dyDescent="0.25">
      <c r="A64">
        <v>2012</v>
      </c>
      <c r="B64">
        <v>256261</v>
      </c>
      <c r="C64">
        <f t="shared" si="1"/>
        <v>0.25626100000000002</v>
      </c>
    </row>
    <row r="65" spans="1:3" x14ac:dyDescent="0.25">
      <c r="A65">
        <v>2013</v>
      </c>
      <c r="B65">
        <v>282773</v>
      </c>
      <c r="C65">
        <f t="shared" si="1"/>
        <v>0.282773</v>
      </c>
    </row>
    <row r="66" spans="1:3" x14ac:dyDescent="0.25">
      <c r="A66">
        <v>2014</v>
      </c>
      <c r="B66">
        <v>310567</v>
      </c>
      <c r="C66">
        <f t="shared" ref="C66:C72" si="2">B66/1000000</f>
        <v>0.31056699999999998</v>
      </c>
    </row>
    <row r="67" spans="1:3" x14ac:dyDescent="0.25">
      <c r="A67">
        <v>2015</v>
      </c>
      <c r="B67">
        <v>334093</v>
      </c>
      <c r="C67">
        <f t="shared" si="2"/>
        <v>0.33409299999999997</v>
      </c>
    </row>
    <row r="68" spans="1:3" x14ac:dyDescent="0.25">
      <c r="A68">
        <v>2016</v>
      </c>
      <c r="B68">
        <v>365250</v>
      </c>
      <c r="C68">
        <f t="shared" si="2"/>
        <v>0.36525000000000002</v>
      </c>
    </row>
    <row r="69" spans="1:3" x14ac:dyDescent="0.25">
      <c r="A69">
        <v>2017</v>
      </c>
      <c r="B69">
        <v>396367</v>
      </c>
      <c r="C69">
        <f t="shared" si="2"/>
        <v>0.39636700000000002</v>
      </c>
    </row>
    <row r="70" spans="1:3" x14ac:dyDescent="0.25">
      <c r="A70">
        <v>2018</v>
      </c>
      <c r="B70">
        <v>425000</v>
      </c>
      <c r="C70">
        <f t="shared" si="2"/>
        <v>0.42499999999999999</v>
      </c>
    </row>
    <row r="71" spans="1:3" x14ac:dyDescent="0.25">
      <c r="A71">
        <v>2019</v>
      </c>
      <c r="B71">
        <v>453514</v>
      </c>
      <c r="C71">
        <f t="shared" si="2"/>
        <v>0.45351399999999997</v>
      </c>
    </row>
    <row r="72" spans="1:3" x14ac:dyDescent="0.25">
      <c r="A72">
        <v>2020</v>
      </c>
      <c r="B72">
        <v>484878</v>
      </c>
      <c r="C72">
        <f t="shared" si="2"/>
        <v>0.48487799999999998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3AC6-AA53-4BAE-9579-21E7BD7C606C}">
  <dimension ref="A1:BR97"/>
  <sheetViews>
    <sheetView topLeftCell="A8" zoomScaleNormal="100" workbookViewId="0">
      <selection activeCell="R28" sqref="R28"/>
    </sheetView>
  </sheetViews>
  <sheetFormatPr defaultRowHeight="15" x14ac:dyDescent="0.25"/>
  <cols>
    <col min="1" max="1" width="9.42578125" customWidth="1"/>
    <col min="2" max="2" width="9.140625" bestFit="1" customWidth="1"/>
    <col min="3" max="3" width="7.28515625" bestFit="1" customWidth="1"/>
    <col min="4" max="4" width="12.140625" bestFit="1" customWidth="1"/>
    <col min="5" max="5" width="9.7109375" bestFit="1" customWidth="1"/>
    <col min="7" max="7" width="8.85546875" customWidth="1"/>
    <col min="8" max="8" width="9.42578125" bestFit="1" customWidth="1"/>
    <col min="9" max="9" width="20.7109375" bestFit="1" customWidth="1"/>
    <col min="10" max="10" width="14.140625" bestFit="1" customWidth="1"/>
    <col min="11" max="11" width="15.85546875" bestFit="1" customWidth="1"/>
    <col min="12" max="12" width="14.140625" bestFit="1" customWidth="1"/>
    <col min="13" max="13" width="29.7109375" bestFit="1" customWidth="1"/>
    <col min="39" max="39" width="12.7109375" bestFit="1" customWidth="1"/>
    <col min="40" max="40" width="10.7109375" bestFit="1" customWidth="1"/>
    <col min="41" max="41" width="8.85546875" bestFit="1" customWidth="1"/>
    <col min="42" max="42" width="12.7109375" bestFit="1" customWidth="1"/>
    <col min="43" max="43" width="12.28515625" bestFit="1" customWidth="1"/>
    <col min="44" max="44" width="9.7109375" bestFit="1" customWidth="1"/>
    <col min="47" max="47" width="14.7109375" customWidth="1"/>
    <col min="48" max="48" width="10.42578125" customWidth="1"/>
    <col min="49" max="49" width="14.42578125" customWidth="1"/>
    <col min="50" max="50" width="15.85546875" customWidth="1"/>
    <col min="51" max="51" width="11.5703125" customWidth="1"/>
    <col min="66" max="66" width="15.5703125" customWidth="1"/>
    <col min="67" max="67" width="13" bestFit="1" customWidth="1"/>
    <col min="68" max="68" width="14.85546875" bestFit="1" customWidth="1"/>
    <col min="69" max="70" width="19.28515625" bestFit="1" customWidth="1"/>
  </cols>
  <sheetData>
    <row r="1" spans="1:70" ht="21" customHeight="1" thickBot="1" x14ac:dyDescent="0.35">
      <c r="A1" t="s">
        <v>12</v>
      </c>
      <c r="AU1" t="s">
        <v>57</v>
      </c>
      <c r="BO1" s="52" t="s">
        <v>72</v>
      </c>
      <c r="BP1" s="52"/>
      <c r="BQ1" s="52"/>
      <c r="BR1" s="52"/>
    </row>
    <row r="2" spans="1:70" ht="14.45" customHeight="1" thickBot="1" x14ac:dyDescent="0.3">
      <c r="S2" t="s">
        <v>22</v>
      </c>
      <c r="AM2" t="s">
        <v>55</v>
      </c>
      <c r="AV2" s="49" t="s">
        <v>76</v>
      </c>
      <c r="AW2" s="51"/>
      <c r="AX2" s="51"/>
      <c r="AY2" s="51"/>
      <c r="BN2" s="28" t="s">
        <v>63</v>
      </c>
      <c r="BO2" s="29" t="s">
        <v>64</v>
      </c>
      <c r="BP2" s="29" t="s">
        <v>65</v>
      </c>
      <c r="BQ2" s="29" t="s">
        <v>66</v>
      </c>
      <c r="BR2" s="29" t="s">
        <v>67</v>
      </c>
    </row>
    <row r="3" spans="1:70" ht="18" customHeight="1" thickBot="1" x14ac:dyDescent="0.3">
      <c r="A3" s="4"/>
      <c r="B3" s="4" t="s">
        <v>30</v>
      </c>
      <c r="C3" s="4" t="s">
        <v>23</v>
      </c>
      <c r="D3" s="4" t="s">
        <v>7</v>
      </c>
      <c r="E3" s="4" t="s">
        <v>8</v>
      </c>
      <c r="F3" s="4"/>
      <c r="I3" t="s">
        <v>91</v>
      </c>
      <c r="J3" t="s">
        <v>23</v>
      </c>
      <c r="K3" t="s">
        <v>100</v>
      </c>
      <c r="L3" t="s">
        <v>15</v>
      </c>
      <c r="R3" t="s">
        <v>17</v>
      </c>
      <c r="S3" t="s">
        <v>18</v>
      </c>
      <c r="U3" s="13" t="s">
        <v>21</v>
      </c>
      <c r="V3" s="13" t="s">
        <v>19</v>
      </c>
      <c r="W3" s="13" t="s">
        <v>20</v>
      </c>
      <c r="AM3" t="s">
        <v>35</v>
      </c>
      <c r="AU3" t="s">
        <v>61</v>
      </c>
      <c r="AV3" t="s">
        <v>59</v>
      </c>
      <c r="AW3" t="s">
        <v>60</v>
      </c>
      <c r="AX3" t="s">
        <v>62</v>
      </c>
      <c r="AY3" t="s">
        <v>8</v>
      </c>
      <c r="BN3" s="29" t="s">
        <v>40</v>
      </c>
      <c r="BO3" s="25" t="s">
        <v>68</v>
      </c>
      <c r="BP3" s="25" t="s">
        <v>68</v>
      </c>
      <c r="BQ3" s="30"/>
      <c r="BR3" s="26"/>
    </row>
    <row r="4" spans="1:70" ht="18.75" thickBot="1" x14ac:dyDescent="0.4">
      <c r="A4" s="5" t="s">
        <v>9</v>
      </c>
      <c r="B4">
        <v>0.12</v>
      </c>
      <c r="C4" s="12" t="s">
        <v>24</v>
      </c>
      <c r="D4">
        <v>0.27</v>
      </c>
      <c r="E4">
        <v>0.14000000000000001</v>
      </c>
      <c r="I4" s="37" t="s">
        <v>6</v>
      </c>
      <c r="J4">
        <v>31542.799999999999</v>
      </c>
      <c r="K4" s="12" t="s">
        <v>97</v>
      </c>
      <c r="L4" t="s">
        <v>93</v>
      </c>
      <c r="O4">
        <v>0.25282799869342815</v>
      </c>
      <c r="P4">
        <v>0.23378439661432984</v>
      </c>
      <c r="R4">
        <v>19144</v>
      </c>
      <c r="S4">
        <v>9469</v>
      </c>
      <c r="U4" s="14">
        <v>2002</v>
      </c>
      <c r="V4" s="15">
        <v>1866</v>
      </c>
      <c r="W4" s="16">
        <v>354</v>
      </c>
      <c r="AM4" t="s">
        <v>39</v>
      </c>
      <c r="AN4" t="s">
        <v>42</v>
      </c>
      <c r="AO4" t="s">
        <v>44</v>
      </c>
      <c r="AP4" t="s">
        <v>43</v>
      </c>
      <c r="AU4" t="s">
        <v>40</v>
      </c>
      <c r="AV4" s="23">
        <v>0.69799999999999995</v>
      </c>
      <c r="AW4" s="23">
        <v>0.68799999999999994</v>
      </c>
      <c r="AX4" s="24"/>
      <c r="AY4" s="24"/>
      <c r="BN4" s="29" t="s">
        <v>45</v>
      </c>
      <c r="BO4" s="25" t="s">
        <v>68</v>
      </c>
      <c r="BP4" s="27" t="s">
        <v>69</v>
      </c>
      <c r="BQ4" s="25" t="s">
        <v>68</v>
      </c>
      <c r="BR4" s="26"/>
    </row>
    <row r="5" spans="1:70" ht="18.75" thickBot="1" x14ac:dyDescent="0.4">
      <c r="A5" s="5" t="s">
        <v>10</v>
      </c>
      <c r="B5">
        <v>-0.15</v>
      </c>
      <c r="C5" s="12" t="s">
        <v>24</v>
      </c>
      <c r="D5">
        <v>-0.23</v>
      </c>
      <c r="E5">
        <v>-0.12</v>
      </c>
      <c r="I5" s="37" t="s">
        <v>13</v>
      </c>
      <c r="J5">
        <v>6.17797E-2</v>
      </c>
      <c r="K5" s="12" t="s">
        <v>99</v>
      </c>
      <c r="L5" t="s">
        <v>94</v>
      </c>
      <c r="O5">
        <v>-0.19548338286256525</v>
      </c>
      <c r="P5">
        <v>-0.17175262953737455</v>
      </c>
      <c r="U5" s="17">
        <v>2003</v>
      </c>
      <c r="V5" s="18">
        <v>988</v>
      </c>
      <c r="W5" s="19">
        <v>447</v>
      </c>
      <c r="AM5" s="21" t="s">
        <v>40</v>
      </c>
      <c r="AN5" s="21" t="s">
        <v>45</v>
      </c>
      <c r="AO5" s="21" t="s">
        <v>46</v>
      </c>
      <c r="AP5" s="21" t="s">
        <v>47</v>
      </c>
      <c r="AQ5" s="21" t="s">
        <v>48</v>
      </c>
      <c r="AR5" s="21" t="s">
        <v>8</v>
      </c>
      <c r="AU5" t="s">
        <v>45</v>
      </c>
      <c r="AV5" s="23">
        <v>0.28299999999999997</v>
      </c>
      <c r="AW5" s="23">
        <v>0.27</v>
      </c>
      <c r="AX5" s="23">
        <v>0.248</v>
      </c>
      <c r="AY5" s="24"/>
      <c r="BN5" s="29" t="s">
        <v>46</v>
      </c>
      <c r="BO5" s="25" t="s">
        <v>68</v>
      </c>
      <c r="BP5" s="25" t="s">
        <v>68</v>
      </c>
      <c r="BQ5" s="25" t="s">
        <v>68</v>
      </c>
      <c r="BR5" s="25" t="s">
        <v>68</v>
      </c>
    </row>
    <row r="6" spans="1:70" ht="18.75" thickBot="1" x14ac:dyDescent="0.4">
      <c r="A6" s="5" t="s">
        <v>11</v>
      </c>
      <c r="B6">
        <v>-0.13</v>
      </c>
      <c r="C6" s="12" t="s">
        <v>24</v>
      </c>
      <c r="D6">
        <v>-0.03</v>
      </c>
      <c r="E6">
        <v>-0.04</v>
      </c>
      <c r="I6" s="37" t="s">
        <v>95</v>
      </c>
      <c r="J6">
        <v>330.65100000000001</v>
      </c>
      <c r="K6" s="12" t="s">
        <v>98</v>
      </c>
      <c r="L6" t="s">
        <v>96</v>
      </c>
      <c r="O6">
        <v>0.13438473202044696</v>
      </c>
      <c r="P6">
        <v>0.1123428879264687</v>
      </c>
      <c r="U6" s="14">
        <v>2004</v>
      </c>
      <c r="V6" s="15">
        <v>1308</v>
      </c>
      <c r="W6" s="16">
        <v>275</v>
      </c>
      <c r="AL6" s="4" t="s">
        <v>36</v>
      </c>
      <c r="AN6" s="20"/>
      <c r="AU6" t="s">
        <v>46</v>
      </c>
      <c r="AV6" s="23">
        <v>0.68600000000000005</v>
      </c>
      <c r="AW6" s="23">
        <v>0.66800000000000004</v>
      </c>
      <c r="AX6" s="23">
        <v>0.66</v>
      </c>
      <c r="AY6" s="23">
        <v>0.65900000000000003</v>
      </c>
      <c r="BN6" s="29" t="s">
        <v>47</v>
      </c>
      <c r="BO6" s="27" t="s">
        <v>69</v>
      </c>
      <c r="BP6" s="27" t="s">
        <v>69</v>
      </c>
      <c r="BQ6" s="27" t="s">
        <v>69</v>
      </c>
      <c r="BR6" s="27" t="s">
        <v>69</v>
      </c>
    </row>
    <row r="7" spans="1:70" ht="15.75" thickBot="1" x14ac:dyDescent="0.3">
      <c r="A7" s="5"/>
      <c r="B7" t="s">
        <v>25</v>
      </c>
      <c r="H7" s="5"/>
      <c r="I7" s="6" t="str" cm="1">
        <f t="array" ref="I7:L10">TRANSPOSE(Table2[#All])</f>
        <v xml:space="preserve"> </v>
      </c>
      <c r="J7" s="11" t="str">
        <v>SSB</v>
      </c>
      <c r="K7" s="11" t="str">
        <v>F(10-20)</v>
      </c>
      <c r="L7" t="str">
        <v>Rec (1000's)</v>
      </c>
      <c r="U7" s="13">
        <v>2005</v>
      </c>
      <c r="V7" s="18">
        <v>1488</v>
      </c>
      <c r="W7" s="18">
        <v>300</v>
      </c>
      <c r="AL7" t="s">
        <v>49</v>
      </c>
      <c r="AM7" t="s">
        <v>41</v>
      </c>
      <c r="AN7" t="s">
        <v>41</v>
      </c>
      <c r="AO7" t="s">
        <v>41</v>
      </c>
      <c r="AP7" t="s">
        <v>41</v>
      </c>
      <c r="AQ7" t="s">
        <v>52</v>
      </c>
      <c r="AR7" t="s">
        <v>52</v>
      </c>
      <c r="AU7" t="s">
        <v>47</v>
      </c>
      <c r="AV7" s="23">
        <v>0.41499999999999998</v>
      </c>
      <c r="AW7" s="23">
        <v>0.375</v>
      </c>
      <c r="AX7" s="23">
        <v>0.38400000000000001</v>
      </c>
      <c r="AY7" s="23">
        <v>0.38200000000000001</v>
      </c>
      <c r="BN7" s="29" t="s">
        <v>70</v>
      </c>
      <c r="BO7" s="26"/>
      <c r="BP7" s="26"/>
      <c r="BQ7" s="25" t="s">
        <v>68</v>
      </c>
      <c r="BR7" s="26"/>
    </row>
    <row r="8" spans="1:70" ht="15.75" thickBot="1" x14ac:dyDescent="0.3">
      <c r="A8" s="5"/>
      <c r="G8" t="s">
        <v>16</v>
      </c>
      <c r="I8" s="4" t="str">
        <v>No Env.</v>
      </c>
      <c r="J8" s="4">
        <v>31542.799999999999</v>
      </c>
      <c r="K8" s="4">
        <v>6.17797E-2</v>
      </c>
      <c r="L8" s="4">
        <v>330.65100000000001</v>
      </c>
      <c r="M8" s="4"/>
      <c r="N8" s="38">
        <v>31542.799999999999</v>
      </c>
      <c r="O8" s="39">
        <v>31532.9</v>
      </c>
      <c r="P8" s="38">
        <v>38904.800000000003</v>
      </c>
      <c r="U8" s="14">
        <v>2006</v>
      </c>
      <c r="V8" s="15">
        <v>1703</v>
      </c>
      <c r="W8" s="16">
        <v>175</v>
      </c>
      <c r="AL8" t="s">
        <v>50</v>
      </c>
      <c r="AM8" t="s">
        <v>54</v>
      </c>
      <c r="AQ8" s="22"/>
      <c r="AR8" s="22"/>
      <c r="AU8" t="s">
        <v>58</v>
      </c>
      <c r="AV8" s="24"/>
      <c r="AW8" s="24"/>
      <c r="AX8" s="23">
        <v>0.67400000000000004</v>
      </c>
      <c r="AY8" s="24"/>
      <c r="BN8" s="29" t="s">
        <v>71</v>
      </c>
      <c r="BO8" s="26"/>
      <c r="BP8" s="26"/>
      <c r="BQ8" s="26"/>
      <c r="BR8" s="27" t="s">
        <v>69</v>
      </c>
    </row>
    <row r="9" spans="1:70" x14ac:dyDescent="0.25">
      <c r="A9" s="5"/>
      <c r="I9" s="5" t="str">
        <v>Covariate (% change)</v>
      </c>
      <c r="J9" s="7" t="str">
        <v>31532.9 (0%)</v>
      </c>
      <c r="K9" t="str">
        <v>0.0623874 (+1%)</v>
      </c>
      <c r="L9" s="9" t="str">
        <v>330.417 (0%)</v>
      </c>
      <c r="M9" s="9"/>
      <c r="N9" s="40">
        <v>6.17797E-2</v>
      </c>
      <c r="O9" s="41">
        <v>6.2387400000000003E-2</v>
      </c>
      <c r="P9" s="40">
        <v>5.1672200000000001E-2</v>
      </c>
      <c r="U9" s="17">
        <v>2007</v>
      </c>
      <c r="V9" s="18">
        <v>1146</v>
      </c>
      <c r="W9" s="19">
        <v>290</v>
      </c>
      <c r="AL9" t="s">
        <v>51</v>
      </c>
      <c r="AM9" t="s">
        <v>53</v>
      </c>
      <c r="AN9" t="s">
        <v>53</v>
      </c>
      <c r="AO9" t="s">
        <v>53</v>
      </c>
      <c r="AP9" t="s">
        <v>53</v>
      </c>
      <c r="AQ9" s="22"/>
      <c r="AR9" s="22"/>
      <c r="AU9" t="s">
        <v>8</v>
      </c>
      <c r="AV9" s="24"/>
      <c r="AW9" s="24"/>
      <c r="AX9" s="24"/>
      <c r="AY9" s="23">
        <v>0.20699999999999999</v>
      </c>
    </row>
    <row r="10" spans="1:70" x14ac:dyDescent="0.25">
      <c r="A10" s="5"/>
      <c r="I10" s="5" t="str">
        <v>VAST Joint (% change)</v>
      </c>
      <c r="J10" s="8" t="str">
        <v>38904.8 (+23%)</v>
      </c>
      <c r="K10" t="str">
        <v>0.0516722 (-17%)</v>
      </c>
      <c r="L10" s="10" t="str">
        <v>367.537 (+11%)</v>
      </c>
      <c r="M10" s="10"/>
      <c r="N10" s="42">
        <v>330.65100000000001</v>
      </c>
      <c r="O10" s="43">
        <v>330.41699999999997</v>
      </c>
      <c r="P10" s="42">
        <v>367.53699999999998</v>
      </c>
      <c r="U10" s="14">
        <v>2008</v>
      </c>
      <c r="V10" s="15">
        <v>1333</v>
      </c>
      <c r="W10" s="16">
        <v>338</v>
      </c>
      <c r="AL10" s="4" t="s">
        <v>56</v>
      </c>
    </row>
    <row r="11" spans="1:70" x14ac:dyDescent="0.25">
      <c r="A11" s="5"/>
      <c r="I11" s="44" t="s">
        <v>91</v>
      </c>
      <c r="J11" s="6" t="s">
        <v>6</v>
      </c>
      <c r="K11" s="6" t="s">
        <v>13</v>
      </c>
      <c r="L11" s="37" t="s">
        <v>92</v>
      </c>
      <c r="M11" s="11"/>
      <c r="O11">
        <f t="shared" ref="O11:P13" si="0">(O8-N8)/N8</f>
        <v>-3.1385926423772831E-4</v>
      </c>
      <c r="P11">
        <f t="shared" si="0"/>
        <v>0.23378439661432984</v>
      </c>
      <c r="U11" s="13">
        <v>2009</v>
      </c>
      <c r="V11" s="18">
        <v>599</v>
      </c>
      <c r="W11" s="18">
        <v>332</v>
      </c>
      <c r="AM11" t="s">
        <v>41</v>
      </c>
      <c r="AN11" t="s">
        <v>41</v>
      </c>
      <c r="AO11" t="s">
        <v>41</v>
      </c>
      <c r="AP11" t="s">
        <v>41</v>
      </c>
      <c r="AQ11" t="s">
        <v>52</v>
      </c>
      <c r="AR11" t="s">
        <v>52</v>
      </c>
    </row>
    <row r="12" spans="1:70" x14ac:dyDescent="0.25">
      <c r="A12" s="5"/>
      <c r="H12" s="5"/>
      <c r="I12" s="4" t="s">
        <v>23</v>
      </c>
      <c r="J12" s="45">
        <v>31543</v>
      </c>
      <c r="K12" s="46">
        <v>6.17797E-2</v>
      </c>
      <c r="L12" s="47">
        <v>330.65100000000001</v>
      </c>
      <c r="O12">
        <f t="shared" si="0"/>
        <v>9.8365644378331819E-3</v>
      </c>
      <c r="P12">
        <f t="shared" si="0"/>
        <v>-0.17175262953737455</v>
      </c>
      <c r="U12" s="14">
        <v>2010</v>
      </c>
      <c r="V12" s="15">
        <v>523</v>
      </c>
      <c r="W12" s="16">
        <v>375</v>
      </c>
    </row>
    <row r="13" spans="1:70" x14ac:dyDescent="0.25">
      <c r="I13" s="4" t="s">
        <v>100</v>
      </c>
      <c r="J13" s="47" t="s">
        <v>105</v>
      </c>
      <c r="K13" s="45" t="s">
        <v>104</v>
      </c>
      <c r="L13" s="47" t="s">
        <v>101</v>
      </c>
      <c r="O13">
        <f t="shared" si="0"/>
        <v>-7.0769482021840939E-4</v>
      </c>
      <c r="P13">
        <f t="shared" si="0"/>
        <v>0.1123428879264687</v>
      </c>
      <c r="U13" s="17">
        <v>2011</v>
      </c>
      <c r="V13" s="18">
        <v>548</v>
      </c>
      <c r="W13" s="19">
        <v>374</v>
      </c>
    </row>
    <row r="14" spans="1:70" x14ac:dyDescent="0.25">
      <c r="I14" s="4" t="s">
        <v>15</v>
      </c>
      <c r="J14" s="48" t="s">
        <v>106</v>
      </c>
      <c r="K14" s="45" t="s">
        <v>103</v>
      </c>
      <c r="L14" s="48" t="s">
        <v>102</v>
      </c>
      <c r="U14" s="14">
        <v>2012</v>
      </c>
      <c r="V14" s="15">
        <v>482</v>
      </c>
      <c r="W14" s="16">
        <v>535</v>
      </c>
    </row>
    <row r="15" spans="1:70" ht="14.45" customHeight="1" x14ac:dyDescent="0.25">
      <c r="G15" s="50" t="s">
        <v>14</v>
      </c>
      <c r="H15" s="50"/>
      <c r="I15" s="50"/>
      <c r="J15" s="50"/>
      <c r="K15" s="50"/>
      <c r="L15" s="50"/>
      <c r="U15" s="13">
        <v>2013</v>
      </c>
      <c r="V15" s="18">
        <v>619</v>
      </c>
      <c r="W15" s="18">
        <v>500</v>
      </c>
      <c r="AL15" s="4" t="s">
        <v>37</v>
      </c>
    </row>
    <row r="16" spans="1:70" x14ac:dyDescent="0.25">
      <c r="G16" s="50"/>
      <c r="H16" s="50"/>
      <c r="I16" s="50"/>
      <c r="J16" s="50"/>
      <c r="K16" s="50"/>
      <c r="L16" s="50"/>
      <c r="U16" s="14">
        <v>2014</v>
      </c>
      <c r="V16" s="15">
        <v>429</v>
      </c>
      <c r="W16" s="16">
        <v>399</v>
      </c>
      <c r="AM16" t="s">
        <v>52</v>
      </c>
      <c r="AN16" t="s">
        <v>41</v>
      </c>
      <c r="AO16" t="s">
        <v>41</v>
      </c>
      <c r="AP16" t="s">
        <v>41</v>
      </c>
      <c r="AR16" t="s">
        <v>52</v>
      </c>
    </row>
    <row r="17" spans="7:50" x14ac:dyDescent="0.25">
      <c r="G17" s="50"/>
      <c r="H17" s="50"/>
      <c r="I17" s="50"/>
      <c r="J17" s="50"/>
      <c r="K17" s="50"/>
      <c r="L17" s="50"/>
      <c r="U17" s="17">
        <v>2015</v>
      </c>
      <c r="V17" s="18">
        <v>592</v>
      </c>
      <c r="W17" s="19">
        <v>608</v>
      </c>
      <c r="AQ17" t="s">
        <v>54</v>
      </c>
    </row>
    <row r="18" spans="7:50" x14ac:dyDescent="0.25">
      <c r="U18" s="14">
        <v>2016</v>
      </c>
      <c r="V18" s="15">
        <v>493</v>
      </c>
      <c r="W18" s="16">
        <v>715</v>
      </c>
    </row>
    <row r="19" spans="7:50" x14ac:dyDescent="0.25">
      <c r="U19" s="13">
        <v>2017</v>
      </c>
      <c r="V19" s="18">
        <v>591</v>
      </c>
      <c r="W19" s="18">
        <v>655</v>
      </c>
    </row>
    <row r="20" spans="7:50" x14ac:dyDescent="0.25">
      <c r="U20" s="14">
        <v>2018</v>
      </c>
      <c r="V20" s="15">
        <v>781</v>
      </c>
      <c r="W20" s="16">
        <v>786</v>
      </c>
      <c r="AL20" s="4" t="s">
        <v>38</v>
      </c>
    </row>
    <row r="21" spans="7:50" x14ac:dyDescent="0.25">
      <c r="U21" s="17">
        <v>2019</v>
      </c>
      <c r="V21" s="18">
        <v>1009</v>
      </c>
      <c r="W21" s="19">
        <v>655</v>
      </c>
      <c r="AN21" s="4" t="s">
        <v>36</v>
      </c>
      <c r="AO21" s="4" t="s">
        <v>56</v>
      </c>
      <c r="AP21" s="4" t="s">
        <v>37</v>
      </c>
      <c r="AQ21" s="4" t="s">
        <v>38</v>
      </c>
    </row>
    <row r="22" spans="7:50" x14ac:dyDescent="0.25">
      <c r="U22" s="14">
        <v>2020</v>
      </c>
      <c r="V22" s="15">
        <v>1037</v>
      </c>
      <c r="W22" s="16">
        <v>628</v>
      </c>
      <c r="AU22" s="49" t="s">
        <v>74</v>
      </c>
      <c r="AV22" s="49"/>
      <c r="AW22" s="49"/>
      <c r="AX22" s="49"/>
    </row>
    <row r="23" spans="7:50" x14ac:dyDescent="0.25">
      <c r="U23" s="13">
        <v>2021</v>
      </c>
      <c r="V23" s="18">
        <v>839</v>
      </c>
      <c r="W23" s="18">
        <v>324</v>
      </c>
      <c r="AU23" t="s">
        <v>61</v>
      </c>
      <c r="AV23" t="s">
        <v>60</v>
      </c>
      <c r="AW23" t="s">
        <v>75</v>
      </c>
      <c r="AX23" t="s">
        <v>8</v>
      </c>
    </row>
    <row r="24" spans="7:50" x14ac:dyDescent="0.25">
      <c r="U24" s="14">
        <v>2022</v>
      </c>
      <c r="V24" s="15">
        <v>770</v>
      </c>
      <c r="W24" s="16">
        <v>404</v>
      </c>
      <c r="AU24" t="s">
        <v>40</v>
      </c>
      <c r="AV24" s="31">
        <v>2.31</v>
      </c>
      <c r="AW24" s="33"/>
      <c r="AX24" s="33"/>
    </row>
    <row r="25" spans="7:50" x14ac:dyDescent="0.25">
      <c r="AU25" t="s">
        <v>45</v>
      </c>
      <c r="AV25" s="31">
        <v>1.39</v>
      </c>
      <c r="AW25" s="31">
        <v>0.96</v>
      </c>
      <c r="AX25" s="32"/>
    </row>
    <row r="26" spans="7:50" x14ac:dyDescent="0.25">
      <c r="AU26" t="s">
        <v>46</v>
      </c>
      <c r="AV26" s="31">
        <v>1.45</v>
      </c>
      <c r="AW26" s="31">
        <v>1.49</v>
      </c>
      <c r="AX26" s="31">
        <v>1.43</v>
      </c>
    </row>
    <row r="27" spans="7:50" x14ac:dyDescent="0.25">
      <c r="AU27" t="s">
        <v>47</v>
      </c>
      <c r="AV27" s="31">
        <v>1.7</v>
      </c>
      <c r="AW27" s="31">
        <v>1.81</v>
      </c>
      <c r="AX27" s="31">
        <v>1.89</v>
      </c>
    </row>
    <row r="28" spans="7:50" x14ac:dyDescent="0.25">
      <c r="AU28" t="s">
        <v>58</v>
      </c>
      <c r="AV28" s="32"/>
      <c r="AW28" s="31">
        <v>1.28</v>
      </c>
      <c r="AX28" s="32"/>
    </row>
    <row r="29" spans="7:50" x14ac:dyDescent="0.25">
      <c r="AU29" t="s">
        <v>8</v>
      </c>
      <c r="AV29" s="32"/>
      <c r="AW29" s="34"/>
      <c r="AX29" s="35">
        <v>1.9</v>
      </c>
    </row>
    <row r="33" spans="1:52" x14ac:dyDescent="0.25">
      <c r="AE33" t="s">
        <v>33</v>
      </c>
      <c r="AO33" t="s">
        <v>34</v>
      </c>
    </row>
    <row r="37" spans="1:52" x14ac:dyDescent="0.25">
      <c r="AL37" t="s">
        <v>31</v>
      </c>
    </row>
    <row r="38" spans="1:52" x14ac:dyDescent="0.25">
      <c r="A38" t="s">
        <v>26</v>
      </c>
    </row>
    <row r="41" spans="1:52" x14ac:dyDescent="0.25">
      <c r="AZ41" t="s">
        <v>73</v>
      </c>
    </row>
    <row r="50" spans="1:38" x14ac:dyDescent="0.25">
      <c r="AL50" t="s">
        <v>32</v>
      </c>
    </row>
    <row r="58" spans="1:38" x14ac:dyDescent="0.25">
      <c r="A58" t="s">
        <v>27</v>
      </c>
    </row>
    <row r="77" spans="1:1" x14ac:dyDescent="0.25">
      <c r="A77" t="s">
        <v>28</v>
      </c>
    </row>
    <row r="97" spans="1:1" x14ac:dyDescent="0.25">
      <c r="A97" t="s">
        <v>29</v>
      </c>
    </row>
  </sheetData>
  <mergeCells count="4">
    <mergeCell ref="AU22:AX22"/>
    <mergeCell ref="G15:L17"/>
    <mergeCell ref="AV2:AY2"/>
    <mergeCell ref="BO1:BR1"/>
  </mergeCells>
  <pageMargins left="0.7" right="0.7" top="0.75" bottom="0.75" header="0.3" footer="0.3"/>
  <pageSetup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B5CF-B2B9-4CE0-AA0C-A523F9F7036C}">
  <dimension ref="A1:AJ61"/>
  <sheetViews>
    <sheetView tabSelected="1" topLeftCell="M34" workbookViewId="0">
      <selection activeCell="C20" sqref="C20"/>
    </sheetView>
  </sheetViews>
  <sheetFormatPr defaultRowHeight="15" x14ac:dyDescent="0.25"/>
  <cols>
    <col min="2" max="2" width="21.42578125" customWidth="1"/>
    <col min="3" max="3" width="17" customWidth="1"/>
    <col min="4" max="4" width="15.42578125" customWidth="1"/>
    <col min="5" max="5" width="20.42578125" customWidth="1"/>
    <col min="6" max="6" width="16.140625" customWidth="1"/>
    <col min="9" max="9" width="9.140625" style="36"/>
    <col min="12" max="12" width="19.42578125" bestFit="1" customWidth="1"/>
    <col min="13" max="13" width="17.7109375" bestFit="1" customWidth="1"/>
    <col min="14" max="14" width="15.5703125" bestFit="1" customWidth="1"/>
    <col min="15" max="15" width="21.7109375" bestFit="1" customWidth="1"/>
    <col min="16" max="16" width="16.7109375" bestFit="1" customWidth="1"/>
    <col min="17" max="17" width="13.85546875" bestFit="1" customWidth="1"/>
    <col min="18" max="18" width="9.140625" style="36"/>
    <col min="29" max="29" width="9.140625" style="36"/>
  </cols>
  <sheetData>
    <row r="1" spans="1:36" x14ac:dyDescent="0.25">
      <c r="B1" s="4" t="s">
        <v>89</v>
      </c>
      <c r="C1" s="4" t="s">
        <v>45</v>
      </c>
      <c r="D1" s="4" t="s">
        <v>79</v>
      </c>
      <c r="E1" s="4" t="s">
        <v>80</v>
      </c>
      <c r="F1" s="4" t="s">
        <v>90</v>
      </c>
      <c r="G1" s="4" t="s">
        <v>82</v>
      </c>
      <c r="J1" t="s">
        <v>83</v>
      </c>
      <c r="L1" s="4" t="s">
        <v>77</v>
      </c>
      <c r="M1" s="4" t="s">
        <v>78</v>
      </c>
      <c r="N1" s="4" t="s">
        <v>79</v>
      </c>
      <c r="O1" s="4" t="s">
        <v>80</v>
      </c>
      <c r="P1" s="4" t="s">
        <v>81</v>
      </c>
      <c r="Q1" s="4" t="s">
        <v>82</v>
      </c>
      <c r="S1" s="4" t="s">
        <v>84</v>
      </c>
      <c r="T1" s="4" t="s">
        <v>77</v>
      </c>
      <c r="U1" s="4" t="s">
        <v>78</v>
      </c>
      <c r="V1" s="4" t="s">
        <v>79</v>
      </c>
      <c r="W1" s="4" t="s">
        <v>80</v>
      </c>
      <c r="X1" s="4" t="s">
        <v>81</v>
      </c>
      <c r="Y1" s="4" t="s">
        <v>82</v>
      </c>
      <c r="AD1" t="s">
        <v>85</v>
      </c>
      <c r="AE1" s="4" t="s">
        <v>77</v>
      </c>
      <c r="AF1" s="4" t="s">
        <v>78</v>
      </c>
      <c r="AG1" s="4" t="s">
        <v>79</v>
      </c>
      <c r="AH1" s="4" t="s">
        <v>80</v>
      </c>
      <c r="AI1" s="4" t="s">
        <v>81</v>
      </c>
      <c r="AJ1" s="4" t="s">
        <v>82</v>
      </c>
    </row>
    <row r="2" spans="1:36" x14ac:dyDescent="0.25">
      <c r="A2" s="4">
        <v>1988</v>
      </c>
      <c r="D2">
        <v>2.7E-2</v>
      </c>
      <c r="K2" s="4">
        <v>1988</v>
      </c>
      <c r="N2">
        <f t="shared" ref="N2:N34" si="0">D2/(MIN(D$2:D$34))</f>
        <v>2.0769230769230771</v>
      </c>
      <c r="S2" s="4">
        <v>1988</v>
      </c>
      <c r="V2">
        <f t="shared" ref="V2:V6" si="1">STANDARDIZE(N2,GEOMEAN(N$2:N$34),_xlfn.STDEV.P(N$2:N$34))</f>
        <v>-0.68940824343053564</v>
      </c>
      <c r="AD2" s="4">
        <v>1988</v>
      </c>
      <c r="AG2">
        <f t="shared" ref="AF2:AJ17" si="2">(V2-MIN(V$2:V$34))/(MAX(V$2:V$34)-MIN(V$2:V$34))</f>
        <v>5.5555555555555594E-2</v>
      </c>
    </row>
    <row r="3" spans="1:36" x14ac:dyDescent="0.25">
      <c r="A3" s="4">
        <v>1989</v>
      </c>
      <c r="D3">
        <v>2.5000000000000001E-2</v>
      </c>
      <c r="K3" s="4">
        <v>1989</v>
      </c>
      <c r="N3">
        <f t="shared" si="0"/>
        <v>1.9230769230769234</v>
      </c>
      <c r="S3" s="4">
        <v>1989</v>
      </c>
      <c r="V3">
        <f t="shared" si="1"/>
        <v>-0.71206742502286735</v>
      </c>
      <c r="AD3" s="4">
        <v>1989</v>
      </c>
      <c r="AG3">
        <f t="shared" si="2"/>
        <v>4.7619047619047616E-2</v>
      </c>
    </row>
    <row r="4" spans="1:36" x14ac:dyDescent="0.25">
      <c r="A4" s="4">
        <v>1990</v>
      </c>
      <c r="D4">
        <v>1.2999999999999999E-2</v>
      </c>
      <c r="K4" s="4">
        <v>1990</v>
      </c>
      <c r="N4">
        <f t="shared" si="0"/>
        <v>1</v>
      </c>
      <c r="S4" s="4">
        <v>1990</v>
      </c>
      <c r="V4">
        <f t="shared" si="1"/>
        <v>-0.84802251457685696</v>
      </c>
      <c r="AD4" s="4">
        <v>1990</v>
      </c>
      <c r="AG4">
        <f t="shared" si="2"/>
        <v>0</v>
      </c>
    </row>
    <row r="5" spans="1:36" x14ac:dyDescent="0.25">
      <c r="A5" s="4">
        <v>1991</v>
      </c>
      <c r="D5">
        <v>1.2999999999999999E-2</v>
      </c>
      <c r="K5" s="4">
        <v>1991</v>
      </c>
      <c r="N5">
        <f t="shared" si="0"/>
        <v>1</v>
      </c>
      <c r="S5" s="4">
        <v>1991</v>
      </c>
      <c r="V5">
        <f t="shared" si="1"/>
        <v>-0.84802251457685696</v>
      </c>
      <c r="AD5" s="4">
        <v>1991</v>
      </c>
      <c r="AG5">
        <f t="shared" si="2"/>
        <v>0</v>
      </c>
    </row>
    <row r="6" spans="1:36" x14ac:dyDescent="0.25">
      <c r="A6" s="4">
        <v>1992</v>
      </c>
      <c r="D6">
        <v>6.0999999999999999E-2</v>
      </c>
      <c r="K6" s="4">
        <v>1992</v>
      </c>
      <c r="N6">
        <f t="shared" si="0"/>
        <v>4.6923076923076925</v>
      </c>
      <c r="S6" s="4">
        <v>1992</v>
      </c>
      <c r="V6">
        <f t="shared" si="1"/>
        <v>-0.30420215636089859</v>
      </c>
      <c r="AD6" s="4">
        <v>1992</v>
      </c>
      <c r="AG6">
        <f t="shared" si="2"/>
        <v>0.19047619047619047</v>
      </c>
    </row>
    <row r="7" spans="1:36" x14ac:dyDescent="0.25">
      <c r="A7" s="4">
        <v>1993</v>
      </c>
      <c r="B7">
        <v>0.53</v>
      </c>
      <c r="D7">
        <v>9.5000000000000001E-2</v>
      </c>
      <c r="K7" s="4">
        <v>1993</v>
      </c>
      <c r="L7">
        <f>B7/(MIN(B$2:B$34))</f>
        <v>2.1457489878542511</v>
      </c>
      <c r="N7">
        <f t="shared" si="0"/>
        <v>7.3076923076923084</v>
      </c>
      <c r="S7" s="4">
        <v>1993</v>
      </c>
      <c r="T7">
        <f t="shared" ref="T7:T34" si="3">STANDARDIZE(L7,GEOMEAN(L$2:L$34),_xlfn.STDEV.P(L$2:L$34))</f>
        <v>-0.39569306611970684</v>
      </c>
      <c r="V7">
        <f t="shared" ref="V7:V34" si="4">STANDARDIZE(N7,GEOMEAN(N$2:N$34),_xlfn.STDEV.P(N$2:N$34))</f>
        <v>8.1003930708738667E-2</v>
      </c>
      <c r="AD7" s="4">
        <v>1993</v>
      </c>
      <c r="AE7">
        <f t="shared" ref="AE7:AE34" si="5">(T7-MIN(T$2:T$34))/(MAX(T$2:T$34)-MIN(T$2:T$34))</f>
        <v>0.11374598070739549</v>
      </c>
      <c r="AG7">
        <f t="shared" si="2"/>
        <v>0.32539682539682541</v>
      </c>
    </row>
    <row r="8" spans="1:36" x14ac:dyDescent="0.25">
      <c r="A8" s="4">
        <v>1994</v>
      </c>
      <c r="B8">
        <v>0.61499999999999999</v>
      </c>
      <c r="D8">
        <v>4.2000000000000003E-2</v>
      </c>
      <c r="E8">
        <v>2.5999999999999999E-2</v>
      </c>
      <c r="K8" s="4">
        <v>1994</v>
      </c>
      <c r="L8">
        <f t="shared" ref="L8:M34" si="6">B8/(MIN(B$2:B$34))</f>
        <v>2.4898785425101213</v>
      </c>
      <c r="N8">
        <f t="shared" si="0"/>
        <v>3.2307692307692313</v>
      </c>
      <c r="O8">
        <f t="shared" ref="O8:O31" si="7">E8/(MIN(E$2:E$34))</f>
        <v>1.368421052631579</v>
      </c>
      <c r="S8" s="4">
        <v>1994</v>
      </c>
      <c r="T8">
        <f t="shared" si="3"/>
        <v>-0.26581696964106261</v>
      </c>
      <c r="V8">
        <f t="shared" si="4"/>
        <v>-0.51946438148804874</v>
      </c>
      <c r="W8">
        <f t="shared" ref="W8:W31" si="8">STANDARDIZE(O8,GEOMEAN(O$2:O$34),_xlfn.STDEV.P(O$2:O$34))</f>
        <v>-0.98054472436886497</v>
      </c>
      <c r="AD8" s="4">
        <v>1994</v>
      </c>
      <c r="AE8">
        <f t="shared" si="5"/>
        <v>0.14790996784565913</v>
      </c>
      <c r="AG8">
        <f t="shared" si="2"/>
        <v>0.11507936507936507</v>
      </c>
      <c r="AH8">
        <f t="shared" si="2"/>
        <v>8.6419753086419762E-2</v>
      </c>
    </row>
    <row r="9" spans="1:36" x14ac:dyDescent="0.25">
      <c r="A9" s="4">
        <v>1995</v>
      </c>
      <c r="B9">
        <v>1.6639999999999999</v>
      </c>
      <c r="D9">
        <v>0.11899999999999999</v>
      </c>
      <c r="E9">
        <v>3.4000000000000002E-2</v>
      </c>
      <c r="K9" s="4">
        <v>1995</v>
      </c>
      <c r="L9">
        <f t="shared" si="6"/>
        <v>6.7368421052631575</v>
      </c>
      <c r="N9">
        <f t="shared" si="0"/>
        <v>9.1538461538461533</v>
      </c>
      <c r="O9">
        <f t="shared" si="7"/>
        <v>1.7894736842105265</v>
      </c>
      <c r="S9" s="4">
        <v>1995</v>
      </c>
      <c r="T9">
        <f t="shared" si="3"/>
        <v>1.3370068563130297</v>
      </c>
      <c r="V9">
        <f t="shared" si="4"/>
        <v>0.35291410981671767</v>
      </c>
      <c r="W9">
        <f t="shared" si="8"/>
        <v>-0.58770127576891285</v>
      </c>
      <c r="AD9" s="4">
        <v>1995</v>
      </c>
      <c r="AE9">
        <f t="shared" si="5"/>
        <v>0.56953376205787776</v>
      </c>
      <c r="AG9">
        <f t="shared" si="2"/>
        <v>0.42063492063492058</v>
      </c>
      <c r="AH9">
        <f t="shared" si="2"/>
        <v>0.18518518518518523</v>
      </c>
    </row>
    <row r="10" spans="1:36" x14ac:dyDescent="0.25">
      <c r="A10" s="4">
        <v>1996</v>
      </c>
      <c r="B10">
        <v>2.7349999999999999</v>
      </c>
      <c r="C10">
        <v>1.0049999999999999</v>
      </c>
      <c r="D10">
        <v>1.6E-2</v>
      </c>
      <c r="E10">
        <v>6.7000000000000004E-2</v>
      </c>
      <c r="K10" s="4">
        <v>1996</v>
      </c>
      <c r="L10">
        <f t="shared" si="6"/>
        <v>11.072874493927126</v>
      </c>
      <c r="M10">
        <f t="shared" si="6"/>
        <v>1.5414110429447851</v>
      </c>
      <c r="N10">
        <f t="shared" si="0"/>
        <v>1.2307692307692308</v>
      </c>
      <c r="O10">
        <f t="shared" si="7"/>
        <v>3.5263157894736845</v>
      </c>
      <c r="S10" s="4">
        <v>1996</v>
      </c>
      <c r="T10">
        <f t="shared" si="3"/>
        <v>2.9734456719439484</v>
      </c>
      <c r="U10">
        <f t="shared" ref="U10:U34" si="9">STANDARDIZE(M10,GEOMEAN(M$2:M$34),_xlfn.STDEV.P(M$2:M$34))</f>
        <v>-0.683539622671132</v>
      </c>
      <c r="V10">
        <f t="shared" si="4"/>
        <v>-0.81403374218835955</v>
      </c>
      <c r="W10">
        <f t="shared" si="8"/>
        <v>1.0327779497058889</v>
      </c>
      <c r="AD10" s="4">
        <v>1996</v>
      </c>
      <c r="AE10">
        <f t="shared" si="5"/>
        <v>1</v>
      </c>
      <c r="AF10">
        <f t="shared" si="2"/>
        <v>0.21419902912621355</v>
      </c>
      <c r="AG10">
        <f t="shared" si="2"/>
        <v>1.1904761904761904E-2</v>
      </c>
      <c r="AH10">
        <f t="shared" si="2"/>
        <v>0.59259259259259256</v>
      </c>
    </row>
    <row r="11" spans="1:36" x14ac:dyDescent="0.25">
      <c r="A11" s="4">
        <v>1997</v>
      </c>
      <c r="B11">
        <v>1.1679999999999999</v>
      </c>
      <c r="C11">
        <v>0.751</v>
      </c>
      <c r="D11">
        <v>1.9E-2</v>
      </c>
      <c r="E11">
        <v>3.7999999999999999E-2</v>
      </c>
      <c r="K11" s="4">
        <v>1997</v>
      </c>
      <c r="L11">
        <f t="shared" si="6"/>
        <v>4.7287449392712544</v>
      </c>
      <c r="M11">
        <f t="shared" si="6"/>
        <v>1.1518404907975459</v>
      </c>
      <c r="N11">
        <f t="shared" si="0"/>
        <v>1.4615384615384617</v>
      </c>
      <c r="O11">
        <f t="shared" si="7"/>
        <v>2</v>
      </c>
      <c r="S11" s="4">
        <v>1997</v>
      </c>
      <c r="T11">
        <f t="shared" si="3"/>
        <v>0.57914163450823475</v>
      </c>
      <c r="U11">
        <f t="shared" si="9"/>
        <v>-1.2108836131970468</v>
      </c>
      <c r="V11">
        <f t="shared" si="4"/>
        <v>-0.78004496979986215</v>
      </c>
      <c r="W11">
        <f t="shared" si="8"/>
        <v>-0.39127955146893711</v>
      </c>
      <c r="AD11" s="4">
        <v>1997</v>
      </c>
      <c r="AE11">
        <f t="shared" si="5"/>
        <v>0.37017684887459795</v>
      </c>
      <c r="AF11">
        <f t="shared" si="2"/>
        <v>6.0072815533980584E-2</v>
      </c>
      <c r="AG11">
        <f t="shared" si="2"/>
        <v>2.3809523809523808E-2</v>
      </c>
      <c r="AH11">
        <f t="shared" si="2"/>
        <v>0.23456790123456789</v>
      </c>
    </row>
    <row r="12" spans="1:36" x14ac:dyDescent="0.25">
      <c r="A12" s="4">
        <v>1998</v>
      </c>
      <c r="B12">
        <v>1.577</v>
      </c>
      <c r="C12">
        <v>0.97399999999999998</v>
      </c>
      <c r="D12">
        <v>3.1E-2</v>
      </c>
      <c r="E12">
        <v>4.2000000000000003E-2</v>
      </c>
      <c r="K12" s="4">
        <v>1998</v>
      </c>
      <c r="L12">
        <f t="shared" si="6"/>
        <v>6.3846153846153841</v>
      </c>
      <c r="M12">
        <f>C12/(MIN(C$2:C$34))</f>
        <v>1.4938650306748464</v>
      </c>
      <c r="N12">
        <f t="shared" si="0"/>
        <v>2.3846153846153846</v>
      </c>
      <c r="O12">
        <f t="shared" si="7"/>
        <v>2.2105263157894739</v>
      </c>
      <c r="S12" s="4">
        <v>1998</v>
      </c>
      <c r="T12">
        <f t="shared" si="3"/>
        <v>1.2040748516819468</v>
      </c>
      <c r="U12">
        <f t="shared" si="9"/>
        <v>-0.7479005034046099</v>
      </c>
      <c r="V12">
        <f t="shared" si="4"/>
        <v>-0.64408988024587266</v>
      </c>
      <c r="W12">
        <f t="shared" si="8"/>
        <v>-0.19485782716896097</v>
      </c>
      <c r="AD12" s="4">
        <v>1998</v>
      </c>
      <c r="AE12">
        <f t="shared" si="5"/>
        <v>0.53456591639871376</v>
      </c>
      <c r="AF12">
        <f t="shared" si="2"/>
        <v>0.19538834951456305</v>
      </c>
      <c r="AG12">
        <f t="shared" si="2"/>
        <v>7.1428571428571383E-2</v>
      </c>
      <c r="AH12">
        <f t="shared" si="2"/>
        <v>0.28395061728395066</v>
      </c>
    </row>
    <row r="13" spans="1:36" x14ac:dyDescent="0.25">
      <c r="A13" s="4">
        <v>1999</v>
      </c>
      <c r="B13">
        <v>1.5640000000000001</v>
      </c>
      <c r="C13">
        <v>1.198</v>
      </c>
      <c r="D13">
        <v>4.7E-2</v>
      </c>
      <c r="E13">
        <v>3.5000000000000003E-2</v>
      </c>
      <c r="K13" s="4">
        <v>1999</v>
      </c>
      <c r="L13">
        <f t="shared" si="6"/>
        <v>6.3319838056680169</v>
      </c>
      <c r="M13">
        <f t="shared" si="6"/>
        <v>1.8374233128834354</v>
      </c>
      <c r="N13">
        <f t="shared" si="0"/>
        <v>3.6153846153846154</v>
      </c>
      <c r="O13">
        <f t="shared" si="7"/>
        <v>1.8421052631578949</v>
      </c>
      <c r="S13" s="4">
        <v>1999</v>
      </c>
      <c r="T13">
        <f t="shared" si="3"/>
        <v>1.1842114486910957</v>
      </c>
      <c r="U13">
        <f t="shared" si="9"/>
        <v>-0.28284123616915718</v>
      </c>
      <c r="V13">
        <f t="shared" si="4"/>
        <v>-0.4628164275072198</v>
      </c>
      <c r="W13">
        <f t="shared" si="8"/>
        <v>-0.53859584469391897</v>
      </c>
      <c r="AD13" s="4">
        <v>1999</v>
      </c>
      <c r="AE13">
        <f t="shared" si="5"/>
        <v>0.52934083601286175</v>
      </c>
      <c r="AF13">
        <f t="shared" si="2"/>
        <v>0.33131067961165045</v>
      </c>
      <c r="AG13">
        <f t="shared" si="2"/>
        <v>0.13492063492063491</v>
      </c>
      <c r="AH13">
        <f t="shared" si="2"/>
        <v>0.19753086419753088</v>
      </c>
    </row>
    <row r="14" spans="1:36" x14ac:dyDescent="0.25">
      <c r="A14" s="4">
        <v>2000</v>
      </c>
      <c r="B14">
        <v>0.97299999999999998</v>
      </c>
      <c r="C14">
        <v>0.65200000000000002</v>
      </c>
      <c r="D14">
        <v>4.3999999999999997E-2</v>
      </c>
      <c r="E14">
        <v>1.9E-2</v>
      </c>
      <c r="K14" s="4">
        <v>2000</v>
      </c>
      <c r="L14">
        <f t="shared" si="6"/>
        <v>3.9392712550607287</v>
      </c>
      <c r="M14">
        <f t="shared" si="6"/>
        <v>1</v>
      </c>
      <c r="N14">
        <f t="shared" si="0"/>
        <v>3.3846153846153846</v>
      </c>
      <c r="O14">
        <f t="shared" si="7"/>
        <v>1</v>
      </c>
      <c r="S14" s="4">
        <v>2000</v>
      </c>
      <c r="T14">
        <f t="shared" si="3"/>
        <v>0.28119058964546284</v>
      </c>
      <c r="U14">
        <f t="shared" si="9"/>
        <v>-1.4164232000555728</v>
      </c>
      <c r="V14">
        <f t="shared" si="4"/>
        <v>-0.4968051998957172</v>
      </c>
      <c r="W14">
        <f t="shared" si="8"/>
        <v>-1.324282741893823</v>
      </c>
      <c r="AD14" s="4">
        <v>2000</v>
      </c>
      <c r="AE14">
        <f t="shared" si="5"/>
        <v>0.29180064308681669</v>
      </c>
      <c r="AF14">
        <f t="shared" si="2"/>
        <v>0</v>
      </c>
      <c r="AG14">
        <f t="shared" si="2"/>
        <v>0.123015873015873</v>
      </c>
      <c r="AH14">
        <f t="shared" si="2"/>
        <v>0</v>
      </c>
    </row>
    <row r="15" spans="1:36" x14ac:dyDescent="0.25">
      <c r="A15" s="4">
        <v>2001</v>
      </c>
      <c r="B15">
        <v>2.0030000000000001</v>
      </c>
      <c r="C15">
        <v>0.81399999999999995</v>
      </c>
      <c r="D15">
        <v>3.6999999999999998E-2</v>
      </c>
      <c r="E15">
        <v>3.6999999999999998E-2</v>
      </c>
      <c r="K15" s="4">
        <v>2001</v>
      </c>
      <c r="L15">
        <f t="shared" si="6"/>
        <v>8.1093117408906892</v>
      </c>
      <c r="M15">
        <f t="shared" si="6"/>
        <v>1.2484662576687116</v>
      </c>
      <c r="N15">
        <f t="shared" si="0"/>
        <v>2.8461538461538463</v>
      </c>
      <c r="O15">
        <f t="shared" si="7"/>
        <v>1.9473684210526316</v>
      </c>
      <c r="S15" s="4">
        <v>2001</v>
      </c>
      <c r="T15">
        <f t="shared" si="3"/>
        <v>1.8549832881513884</v>
      </c>
      <c r="U15">
        <f t="shared" si="9"/>
        <v>-1.0800856942870758</v>
      </c>
      <c r="V15">
        <f t="shared" si="4"/>
        <v>-0.57611233546887775</v>
      </c>
      <c r="W15">
        <f t="shared" si="8"/>
        <v>-0.44038498254393105</v>
      </c>
      <c r="AD15" s="4">
        <v>2001</v>
      </c>
      <c r="AE15">
        <f t="shared" si="5"/>
        <v>0.70578778135048237</v>
      </c>
      <c r="AF15">
        <f t="shared" si="2"/>
        <v>9.830097087378642E-2</v>
      </c>
      <c r="AG15">
        <f t="shared" si="2"/>
        <v>9.5238095238095233E-2</v>
      </c>
      <c r="AH15">
        <f t="shared" si="2"/>
        <v>0.22222222222222224</v>
      </c>
    </row>
    <row r="16" spans="1:36" x14ac:dyDescent="0.25">
      <c r="A16" s="4">
        <v>2002</v>
      </c>
      <c r="B16">
        <v>1.877</v>
      </c>
      <c r="C16">
        <v>0.78300000000000003</v>
      </c>
      <c r="D16">
        <v>6.7000000000000004E-2</v>
      </c>
      <c r="E16">
        <v>0.02</v>
      </c>
      <c r="F16">
        <v>10967.44434</v>
      </c>
      <c r="G16">
        <v>3975.8288950000001</v>
      </c>
      <c r="K16" s="4">
        <v>2002</v>
      </c>
      <c r="L16">
        <f t="shared" si="6"/>
        <v>7.5991902834008096</v>
      </c>
      <c r="M16">
        <f t="shared" si="6"/>
        <v>1.2009202453987731</v>
      </c>
      <c r="N16">
        <f t="shared" si="0"/>
        <v>5.1538461538461542</v>
      </c>
      <c r="O16">
        <f t="shared" si="7"/>
        <v>1.0526315789473684</v>
      </c>
      <c r="P16">
        <f t="shared" ref="P16:P34" si="10">F16/(MIN(F$2:F$34))</f>
        <v>1.4679860803433304</v>
      </c>
      <c r="Q16">
        <f t="shared" ref="Q16:Q34" si="11">G16/(MIN(G$2:G$34))</f>
        <v>12.994565327781226</v>
      </c>
      <c r="S16" s="4">
        <v>2002</v>
      </c>
      <c r="T16">
        <f t="shared" si="3"/>
        <v>1.6624610745477502</v>
      </c>
      <c r="U16">
        <f t="shared" si="9"/>
        <v>-1.1444465750205535</v>
      </c>
      <c r="V16">
        <f t="shared" si="4"/>
        <v>-0.23622461158390376</v>
      </c>
      <c r="W16">
        <f t="shared" si="8"/>
        <v>-1.2751773108188291</v>
      </c>
      <c r="X16">
        <f t="shared" ref="X16:X34" si="12">STANDARDIZE(P16,GEOMEAN(P$2:P$34),_xlfn.STDEV.P(P$2:P$34))</f>
        <v>-0.65444000364189092</v>
      </c>
      <c r="Y16">
        <f t="shared" ref="Y16:Y34" si="13">STANDARDIZE(Q16,GEOMEAN(Q$2:Q$34),_xlfn.STDEV.P(Q$2:Q$34))</f>
        <v>1.3284535240294124</v>
      </c>
      <c r="AD16" s="4">
        <v>2002</v>
      </c>
      <c r="AE16">
        <f t="shared" si="5"/>
        <v>0.6551446945337619</v>
      </c>
      <c r="AF16">
        <f t="shared" si="2"/>
        <v>7.949029126213597E-2</v>
      </c>
      <c r="AG16">
        <f t="shared" si="2"/>
        <v>0.21428571428571427</v>
      </c>
      <c r="AH16">
        <f t="shared" si="2"/>
        <v>1.2345679012345649E-2</v>
      </c>
      <c r="AI16">
        <f t="shared" si="2"/>
        <v>0.1948684962660289</v>
      </c>
      <c r="AJ16">
        <f t="shared" si="2"/>
        <v>0.6331661937400862</v>
      </c>
    </row>
    <row r="17" spans="1:36" x14ac:dyDescent="0.25">
      <c r="A17" s="4">
        <v>2003</v>
      </c>
      <c r="B17">
        <v>0.54400000000000004</v>
      </c>
      <c r="C17">
        <v>0.84699999999999998</v>
      </c>
      <c r="D17">
        <v>7.8E-2</v>
      </c>
      <c r="E17">
        <v>3.5999999999999997E-2</v>
      </c>
      <c r="F17">
        <v>7471.081972</v>
      </c>
      <c r="G17">
        <v>1385.6845969999999</v>
      </c>
      <c r="K17" s="4">
        <v>2003</v>
      </c>
      <c r="L17">
        <f t="shared" si="6"/>
        <v>2.2024291497975712</v>
      </c>
      <c r="M17">
        <f t="shared" si="6"/>
        <v>1.2990797546012269</v>
      </c>
      <c r="N17">
        <f t="shared" si="0"/>
        <v>6</v>
      </c>
      <c r="O17">
        <f t="shared" si="7"/>
        <v>1.8947368421052631</v>
      </c>
      <c r="P17">
        <f t="shared" si="10"/>
        <v>1</v>
      </c>
      <c r="Q17">
        <f t="shared" si="11"/>
        <v>4.5289597452399173</v>
      </c>
      <c r="S17" s="4">
        <v>2003</v>
      </c>
      <c r="T17">
        <f t="shared" si="3"/>
        <v>-0.37430170905263588</v>
      </c>
      <c r="U17">
        <f t="shared" si="9"/>
        <v>-1.0115724986675672</v>
      </c>
      <c r="V17">
        <f t="shared" si="4"/>
        <v>-0.11159911282608002</v>
      </c>
      <c r="W17">
        <f t="shared" si="8"/>
        <v>-0.4894904136189252</v>
      </c>
      <c r="X17">
        <f t="shared" si="12"/>
        <v>-1.3127128102023999</v>
      </c>
      <c r="Y17">
        <f t="shared" si="13"/>
        <v>-0.33416176194497366</v>
      </c>
      <c r="AD17" s="4">
        <v>2003</v>
      </c>
      <c r="AE17">
        <f t="shared" si="5"/>
        <v>0.11937299035369778</v>
      </c>
      <c r="AF17">
        <f t="shared" si="2"/>
        <v>0.11832524271844662</v>
      </c>
      <c r="AG17">
        <f t="shared" si="2"/>
        <v>0.25793650793650791</v>
      </c>
      <c r="AH17">
        <f t="shared" si="2"/>
        <v>0.2098765432098765</v>
      </c>
      <c r="AI17">
        <f t="shared" si="2"/>
        <v>0</v>
      </c>
      <c r="AJ17">
        <f t="shared" si="2"/>
        <v>0.18628586769878958</v>
      </c>
    </row>
    <row r="18" spans="1:36" x14ac:dyDescent="0.25">
      <c r="A18" s="4">
        <v>2004</v>
      </c>
      <c r="B18">
        <v>0.312</v>
      </c>
      <c r="C18">
        <v>1.198</v>
      </c>
      <c r="D18">
        <v>0.14499999999999999</v>
      </c>
      <c r="E18">
        <v>3.7999999999999999E-2</v>
      </c>
      <c r="F18">
        <v>11105.694659999999</v>
      </c>
      <c r="G18">
        <v>622.15180610000004</v>
      </c>
      <c r="K18" s="4">
        <v>2004</v>
      </c>
      <c r="L18">
        <f t="shared" si="6"/>
        <v>1.263157894736842</v>
      </c>
      <c r="M18">
        <f t="shared" si="6"/>
        <v>1.8374233128834354</v>
      </c>
      <c r="N18">
        <f t="shared" si="0"/>
        <v>11.153846153846153</v>
      </c>
      <c r="O18">
        <f t="shared" si="7"/>
        <v>2</v>
      </c>
      <c r="P18">
        <f t="shared" si="10"/>
        <v>1.486490805698792</v>
      </c>
      <c r="Q18">
        <f t="shared" si="11"/>
        <v>2.0334356688062476</v>
      </c>
      <c r="S18" s="4">
        <v>2004</v>
      </c>
      <c r="T18">
        <f t="shared" si="3"/>
        <v>-0.72878705473552396</v>
      </c>
      <c r="U18">
        <f t="shared" si="9"/>
        <v>-0.28284123616915718</v>
      </c>
      <c r="V18">
        <f t="shared" si="4"/>
        <v>0.64748347051702848</v>
      </c>
      <c r="W18">
        <f t="shared" si="8"/>
        <v>-0.39127955146893711</v>
      </c>
      <c r="X18">
        <f t="shared" si="12"/>
        <v>-0.6284111151641939</v>
      </c>
      <c r="Y18">
        <f t="shared" si="13"/>
        <v>-0.82427395008570736</v>
      </c>
      <c r="AD18" s="4">
        <v>2004</v>
      </c>
      <c r="AE18">
        <f t="shared" si="5"/>
        <v>2.6125401929260442E-2</v>
      </c>
      <c r="AF18">
        <f t="shared" ref="AF18:AF34" si="14">(U18-MIN(U$2:U$34))/(MAX(U$2:U$34)-MIN(U$2:U$34))</f>
        <v>0.33131067961165045</v>
      </c>
      <c r="AG18">
        <f t="shared" ref="AG18:AG34" si="15">(V18-MIN(V$2:V$34))/(MAX(V$2:V$34)-MIN(V$2:V$34))</f>
        <v>0.52380952380952372</v>
      </c>
      <c r="AH18">
        <f t="shared" ref="AH18:AH31" si="16">(W18-MIN(W$2:W$34))/(MAX(W$2:W$34)-MIN(W$2:W$34))</f>
        <v>0.23456790123456789</v>
      </c>
      <c r="AI18">
        <f t="shared" ref="AI18:AI34" si="17">(X18-MIN(X$2:X$34))/(MAX(X$2:X$34)-MIN(X$2:X$34))</f>
        <v>0.20257382801689888</v>
      </c>
      <c r="AJ18">
        <f t="shared" ref="AJ18:AJ34" si="18">(Y18-MIN(Y$2:Y$34))/(MAX(Y$2:Y$34)-MIN(Y$2:Y$34))</f>
        <v>5.4552750434211185E-2</v>
      </c>
    </row>
    <row r="19" spans="1:36" x14ac:dyDescent="0.25">
      <c r="A19" s="4">
        <v>2005</v>
      </c>
      <c r="B19">
        <v>0.41399999999999998</v>
      </c>
      <c r="C19">
        <v>1.208</v>
      </c>
      <c r="D19">
        <v>0.11799999999999999</v>
      </c>
      <c r="E19">
        <v>5.0999999999999997E-2</v>
      </c>
      <c r="F19">
        <v>12403.553190000001</v>
      </c>
      <c r="G19">
        <v>1003.909283</v>
      </c>
      <c r="K19" s="4">
        <v>2005</v>
      </c>
      <c r="L19">
        <f t="shared" si="6"/>
        <v>1.6761133603238865</v>
      </c>
      <c r="M19">
        <f t="shared" si="6"/>
        <v>1.852760736196319</v>
      </c>
      <c r="N19">
        <f t="shared" si="0"/>
        <v>9.0769230769230766</v>
      </c>
      <c r="O19">
        <f t="shared" si="7"/>
        <v>2.6842105263157894</v>
      </c>
      <c r="P19">
        <f t="shared" si="10"/>
        <v>1.6602084191400706</v>
      </c>
      <c r="Q19">
        <f t="shared" si="11"/>
        <v>3.281168557710155</v>
      </c>
      <c r="S19" s="4">
        <v>2005</v>
      </c>
      <c r="T19">
        <f t="shared" si="3"/>
        <v>-0.57293573896115091</v>
      </c>
      <c r="U19">
        <f t="shared" si="9"/>
        <v>-0.26207966173900288</v>
      </c>
      <c r="V19">
        <f t="shared" si="4"/>
        <v>0.34158451902055192</v>
      </c>
      <c r="W19">
        <f t="shared" si="8"/>
        <v>0.24709105250598468</v>
      </c>
      <c r="X19">
        <f t="shared" si="12"/>
        <v>-0.38405858898416229</v>
      </c>
      <c r="Y19">
        <f t="shared" si="13"/>
        <v>-0.57922358083830516</v>
      </c>
      <c r="AD19" s="4">
        <v>2005</v>
      </c>
      <c r="AE19">
        <f t="shared" si="5"/>
        <v>6.7122186495176817E-2</v>
      </c>
      <c r="AF19">
        <f t="shared" si="14"/>
        <v>0.3373786407766991</v>
      </c>
      <c r="AG19">
        <f t="shared" si="15"/>
        <v>0.41666666666666663</v>
      </c>
      <c r="AH19">
        <f t="shared" si="16"/>
        <v>0.39506172839506165</v>
      </c>
      <c r="AI19">
        <f t="shared" si="17"/>
        <v>0.27490950535454572</v>
      </c>
      <c r="AJ19">
        <f t="shared" si="18"/>
        <v>0.1204177703396677</v>
      </c>
    </row>
    <row r="20" spans="1:36" x14ac:dyDescent="0.25">
      <c r="A20" s="4">
        <v>2006</v>
      </c>
      <c r="B20">
        <v>0.26100000000000001</v>
      </c>
      <c r="C20">
        <v>1.4359999999999999</v>
      </c>
      <c r="D20">
        <v>0.113</v>
      </c>
      <c r="E20">
        <v>6.2E-2</v>
      </c>
      <c r="F20">
        <v>13573.12781</v>
      </c>
      <c r="G20">
        <v>1013.6530289999999</v>
      </c>
      <c r="K20" s="4">
        <v>2006</v>
      </c>
      <c r="L20">
        <f t="shared" si="6"/>
        <v>1.0566801619433199</v>
      </c>
      <c r="M20">
        <f t="shared" si="6"/>
        <v>2.2024539877300611</v>
      </c>
      <c r="N20">
        <f t="shared" si="0"/>
        <v>8.6923076923076934</v>
      </c>
      <c r="O20">
        <f t="shared" si="7"/>
        <v>3.263157894736842</v>
      </c>
      <c r="P20">
        <f t="shared" si="10"/>
        <v>1.8167553054389107</v>
      </c>
      <c r="Q20">
        <f t="shared" si="11"/>
        <v>3.3130149342213624</v>
      </c>
      <c r="S20" s="4">
        <v>2006</v>
      </c>
      <c r="T20">
        <f t="shared" si="3"/>
        <v>-0.8067127126227106</v>
      </c>
      <c r="U20">
        <f t="shared" si="9"/>
        <v>0.21128423526851106</v>
      </c>
      <c r="V20">
        <f t="shared" si="4"/>
        <v>0.28493656503972309</v>
      </c>
      <c r="W20">
        <f t="shared" si="8"/>
        <v>0.7872507943309186</v>
      </c>
      <c r="X20">
        <f t="shared" si="12"/>
        <v>-0.16385853917361012</v>
      </c>
      <c r="Y20">
        <f t="shared" si="13"/>
        <v>-0.5729690640321331</v>
      </c>
      <c r="AD20" s="4">
        <v>2006</v>
      </c>
      <c r="AE20">
        <f t="shared" si="5"/>
        <v>5.6270096463022275E-3</v>
      </c>
      <c r="AF20">
        <f t="shared" si="14"/>
        <v>0.47572815533980584</v>
      </c>
      <c r="AG20">
        <f t="shared" si="15"/>
        <v>0.3968253968253968</v>
      </c>
      <c r="AH20">
        <f t="shared" si="16"/>
        <v>0.53086419753086411</v>
      </c>
      <c r="AI20">
        <f t="shared" si="17"/>
        <v>0.34009532521013575</v>
      </c>
      <c r="AJ20">
        <f t="shared" si="18"/>
        <v>0.12209886910806672</v>
      </c>
    </row>
    <row r="21" spans="1:36" x14ac:dyDescent="0.25">
      <c r="A21" s="4">
        <v>2007</v>
      </c>
      <c r="B21">
        <v>0.27300000000000002</v>
      </c>
      <c r="C21">
        <v>1.286</v>
      </c>
      <c r="D21">
        <v>0.184</v>
      </c>
      <c r="E21">
        <v>4.2000000000000003E-2</v>
      </c>
      <c r="F21">
        <v>10472.774520000001</v>
      </c>
      <c r="G21">
        <v>1240.7041039999999</v>
      </c>
      <c r="K21" s="4">
        <v>2007</v>
      </c>
      <c r="L21">
        <f t="shared" si="6"/>
        <v>1.1052631578947369</v>
      </c>
      <c r="M21">
        <f t="shared" si="6"/>
        <v>1.9723926380368098</v>
      </c>
      <c r="N21">
        <f t="shared" si="0"/>
        <v>14.153846153846155</v>
      </c>
      <c r="O21">
        <f t="shared" si="7"/>
        <v>2.2105263157894739</v>
      </c>
      <c r="P21">
        <f t="shared" si="10"/>
        <v>1.4017748110982713</v>
      </c>
      <c r="Q21">
        <f t="shared" si="11"/>
        <v>4.0551067356419201</v>
      </c>
      <c r="S21" s="4">
        <v>2007</v>
      </c>
      <c r="T21">
        <f t="shared" si="3"/>
        <v>-0.78837726370807848</v>
      </c>
      <c r="U21">
        <f t="shared" si="9"/>
        <v>-0.10013938118380065</v>
      </c>
      <c r="V21">
        <f t="shared" si="4"/>
        <v>1.0893375115674948</v>
      </c>
      <c r="W21">
        <f t="shared" si="8"/>
        <v>-0.19485782716896097</v>
      </c>
      <c r="X21">
        <f t="shared" si="12"/>
        <v>-0.7475732823067246</v>
      </c>
      <c r="Y21">
        <f t="shared" si="13"/>
        <v>-0.42722483337926737</v>
      </c>
      <c r="AD21" s="4">
        <v>2007</v>
      </c>
      <c r="AE21">
        <f t="shared" si="5"/>
        <v>1.0450160771704154E-2</v>
      </c>
      <c r="AF21">
        <f t="shared" si="14"/>
        <v>0.38470873786407767</v>
      </c>
      <c r="AG21">
        <f t="shared" si="15"/>
        <v>0.67857142857142849</v>
      </c>
      <c r="AH21">
        <f t="shared" si="16"/>
        <v>0.28395061728395066</v>
      </c>
      <c r="AI21">
        <f t="shared" si="17"/>
        <v>0.1672982521592295</v>
      </c>
      <c r="AJ21">
        <f t="shared" si="18"/>
        <v>0.16127223041553274</v>
      </c>
    </row>
    <row r="22" spans="1:36" x14ac:dyDescent="0.25">
      <c r="A22" s="4">
        <v>2008</v>
      </c>
      <c r="B22">
        <v>0.247</v>
      </c>
      <c r="C22">
        <v>1.3620000000000001</v>
      </c>
      <c r="D22">
        <v>0.14799999999999999</v>
      </c>
      <c r="E22">
        <v>3.4000000000000002E-2</v>
      </c>
      <c r="F22">
        <v>9668.9007970000002</v>
      </c>
      <c r="G22">
        <v>1242.4527169999999</v>
      </c>
      <c r="K22" s="4">
        <v>2008</v>
      </c>
      <c r="L22">
        <f t="shared" si="6"/>
        <v>1</v>
      </c>
      <c r="M22">
        <f t="shared" si="6"/>
        <v>2.0889570552147241</v>
      </c>
      <c r="N22">
        <f t="shared" si="0"/>
        <v>11.384615384615385</v>
      </c>
      <c r="O22">
        <f t="shared" si="7"/>
        <v>1.7894736842105265</v>
      </c>
      <c r="P22">
        <f t="shared" si="10"/>
        <v>1.2941767783082758</v>
      </c>
      <c r="Q22">
        <f t="shared" si="11"/>
        <v>4.0608218874911568</v>
      </c>
      <c r="S22" s="4">
        <v>2008</v>
      </c>
      <c r="T22">
        <f t="shared" si="3"/>
        <v>-0.82810406968978134</v>
      </c>
      <c r="U22">
        <f t="shared" si="9"/>
        <v>5.7648584485371059E-2</v>
      </c>
      <c r="V22">
        <f t="shared" si="4"/>
        <v>0.68147224290552599</v>
      </c>
      <c r="W22">
        <f t="shared" si="8"/>
        <v>-0.58770127576891285</v>
      </c>
      <c r="X22">
        <f t="shared" si="12"/>
        <v>-0.89892149970049307</v>
      </c>
      <c r="Y22">
        <f t="shared" si="13"/>
        <v>-0.42610239757316248</v>
      </c>
      <c r="AD22" s="4">
        <v>2008</v>
      </c>
      <c r="AE22">
        <f t="shared" si="5"/>
        <v>0</v>
      </c>
      <c r="AF22">
        <f t="shared" si="14"/>
        <v>0.43082524271844674</v>
      </c>
      <c r="AG22">
        <f t="shared" si="15"/>
        <v>0.5357142857142857</v>
      </c>
      <c r="AH22">
        <f t="shared" si="16"/>
        <v>0.18518518518518523</v>
      </c>
      <c r="AI22">
        <f t="shared" si="17"/>
        <v>0.12249463997574996</v>
      </c>
      <c r="AJ22">
        <f t="shared" si="18"/>
        <v>0.16157392045966018</v>
      </c>
    </row>
    <row r="23" spans="1:36" x14ac:dyDescent="0.25">
      <c r="A23" s="4">
        <v>2009</v>
      </c>
      <c r="B23">
        <v>0.28899999999999998</v>
      </c>
      <c r="C23">
        <v>2.2999999999999998</v>
      </c>
      <c r="D23">
        <v>0.224</v>
      </c>
      <c r="E23">
        <v>5.7000000000000002E-2</v>
      </c>
      <c r="F23">
        <v>10889.158100000001</v>
      </c>
      <c r="G23">
        <v>1756.1680650000001</v>
      </c>
      <c r="K23" s="4">
        <v>2009</v>
      </c>
      <c r="L23">
        <f t="shared" si="6"/>
        <v>1.1700404858299593</v>
      </c>
      <c r="M23">
        <f t="shared" si="6"/>
        <v>3.5276073619631898</v>
      </c>
      <c r="N23">
        <f t="shared" si="0"/>
        <v>17.230769230769234</v>
      </c>
      <c r="O23">
        <f t="shared" si="7"/>
        <v>3</v>
      </c>
      <c r="P23">
        <f t="shared" si="10"/>
        <v>1.4575075124072003</v>
      </c>
      <c r="Q23">
        <f t="shared" si="11"/>
        <v>5.7398447593921542</v>
      </c>
      <c r="S23" s="4">
        <v>2009</v>
      </c>
      <c r="T23">
        <f t="shared" si="3"/>
        <v>-0.76392999848856902</v>
      </c>
      <c r="U23">
        <f t="shared" si="9"/>
        <v>2.0050842660338284</v>
      </c>
      <c r="V23">
        <f t="shared" si="4"/>
        <v>1.5425211434141273</v>
      </c>
      <c r="W23">
        <f t="shared" si="8"/>
        <v>0.54172363895594877</v>
      </c>
      <c r="X23">
        <f t="shared" si="12"/>
        <v>-0.66917923759301812</v>
      </c>
      <c r="Y23">
        <f t="shared" si="13"/>
        <v>-9.6348186240627867E-2</v>
      </c>
      <c r="AD23" s="4">
        <v>2009</v>
      </c>
      <c r="AE23">
        <f t="shared" si="5"/>
        <v>1.6881028938906712E-2</v>
      </c>
      <c r="AF23">
        <f t="shared" si="14"/>
        <v>1</v>
      </c>
      <c r="AG23">
        <f t="shared" si="15"/>
        <v>0.83730158730158755</v>
      </c>
      <c r="AH23">
        <f t="shared" si="16"/>
        <v>0.46913580246913578</v>
      </c>
      <c r="AI23">
        <f t="shared" si="17"/>
        <v>0.19050524089903792</v>
      </c>
      <c r="AJ23">
        <f t="shared" si="18"/>
        <v>0.25020577096463859</v>
      </c>
    </row>
    <row r="24" spans="1:36" x14ac:dyDescent="0.25">
      <c r="A24" s="4">
        <v>2010</v>
      </c>
      <c r="B24">
        <v>0.62</v>
      </c>
      <c r="C24">
        <v>2.1360000000000001</v>
      </c>
      <c r="D24">
        <v>0.26500000000000001</v>
      </c>
      <c r="E24">
        <v>6.5000000000000002E-2</v>
      </c>
      <c r="F24">
        <v>13461.79803</v>
      </c>
      <c r="G24">
        <v>3297.9830240000001</v>
      </c>
      <c r="K24" s="4">
        <v>2010</v>
      </c>
      <c r="L24">
        <f t="shared" si="6"/>
        <v>2.5101214574898787</v>
      </c>
      <c r="M24">
        <f t="shared" si="6"/>
        <v>3.276073619631902</v>
      </c>
      <c r="N24">
        <f t="shared" si="0"/>
        <v>20.384615384615387</v>
      </c>
      <c r="O24">
        <f t="shared" si="7"/>
        <v>3.4210526315789478</v>
      </c>
      <c r="P24">
        <f t="shared" si="10"/>
        <v>1.8018538787891645</v>
      </c>
      <c r="Q24">
        <f t="shared" si="11"/>
        <v>10.779099651188957</v>
      </c>
      <c r="S24" s="4">
        <v>2010</v>
      </c>
      <c r="T24">
        <f t="shared" si="3"/>
        <v>-0.25817719925996579</v>
      </c>
      <c r="U24">
        <f t="shared" si="9"/>
        <v>1.6645944453793011</v>
      </c>
      <c r="V24">
        <f t="shared" si="4"/>
        <v>2.0070343660569248</v>
      </c>
      <c r="W24">
        <f t="shared" si="8"/>
        <v>0.93456708755590101</v>
      </c>
      <c r="X24">
        <f t="shared" si="12"/>
        <v>-0.18481900008152358</v>
      </c>
      <c r="Y24">
        <f t="shared" si="13"/>
        <v>0.89334382472445806</v>
      </c>
      <c r="AD24" s="4">
        <v>2010</v>
      </c>
      <c r="AE24">
        <f t="shared" si="5"/>
        <v>0.14991961414790994</v>
      </c>
      <c r="AF24">
        <f t="shared" si="14"/>
        <v>0.90048543689320404</v>
      </c>
      <c r="AG24">
        <f t="shared" si="15"/>
        <v>1</v>
      </c>
      <c r="AH24">
        <f t="shared" si="16"/>
        <v>0.56790123456790131</v>
      </c>
      <c r="AI24">
        <f t="shared" si="17"/>
        <v>0.33389040005226728</v>
      </c>
      <c r="AJ24">
        <f t="shared" si="18"/>
        <v>0.51621673108963628</v>
      </c>
    </row>
    <row r="25" spans="1:36" x14ac:dyDescent="0.25">
      <c r="A25" s="4">
        <v>2011</v>
      </c>
      <c r="B25">
        <v>0.73899999999999999</v>
      </c>
      <c r="C25">
        <v>1.786</v>
      </c>
      <c r="D25">
        <v>0.189</v>
      </c>
      <c r="E25">
        <v>0.05</v>
      </c>
      <c r="F25">
        <v>13273.636850000001</v>
      </c>
      <c r="G25">
        <v>2440.8888200000001</v>
      </c>
      <c r="K25" s="4">
        <v>2011</v>
      </c>
      <c r="L25">
        <f t="shared" si="6"/>
        <v>2.9919028340080973</v>
      </c>
      <c r="M25">
        <f t="shared" si="6"/>
        <v>2.7392638036809815</v>
      </c>
      <c r="N25">
        <f t="shared" si="0"/>
        <v>14.53846153846154</v>
      </c>
      <c r="O25">
        <f t="shared" si="7"/>
        <v>2.6315789473684212</v>
      </c>
      <c r="P25">
        <f t="shared" si="10"/>
        <v>1.7766686136956764</v>
      </c>
      <c r="Q25">
        <f t="shared" si="11"/>
        <v>7.9777802483476421</v>
      </c>
      <c r="S25" s="4">
        <v>2011</v>
      </c>
      <c r="T25">
        <f t="shared" si="3"/>
        <v>-7.6350664189863762E-2</v>
      </c>
      <c r="U25">
        <f t="shared" si="9"/>
        <v>0.93793934032390613</v>
      </c>
      <c r="V25">
        <f t="shared" si="4"/>
        <v>1.1459854655483239</v>
      </c>
      <c r="W25">
        <f t="shared" si="8"/>
        <v>0.19798562143099094</v>
      </c>
      <c r="X25">
        <f t="shared" si="12"/>
        <v>-0.22024478694445349</v>
      </c>
      <c r="Y25">
        <f t="shared" si="13"/>
        <v>0.34317450551286544</v>
      </c>
      <c r="AD25" s="4">
        <v>2011</v>
      </c>
      <c r="AE25">
        <f t="shared" si="5"/>
        <v>0.19774919614147909</v>
      </c>
      <c r="AF25">
        <f t="shared" si="14"/>
        <v>0.68810679611650494</v>
      </c>
      <c r="AG25">
        <f t="shared" si="15"/>
        <v>0.69841269841269837</v>
      </c>
      <c r="AH25">
        <f t="shared" si="16"/>
        <v>0.38271604938271608</v>
      </c>
      <c r="AI25">
        <f t="shared" si="17"/>
        <v>0.32340330451038962</v>
      </c>
      <c r="AJ25">
        <f t="shared" si="18"/>
        <v>0.36834136459851985</v>
      </c>
    </row>
    <row r="26" spans="1:36" x14ac:dyDescent="0.25">
      <c r="A26" s="4">
        <v>2012</v>
      </c>
      <c r="B26">
        <v>0.53800000000000003</v>
      </c>
      <c r="C26">
        <v>1.74</v>
      </c>
      <c r="D26">
        <v>0.249</v>
      </c>
      <c r="E26">
        <v>0.1</v>
      </c>
      <c r="F26">
        <v>20263.496459999998</v>
      </c>
      <c r="G26">
        <v>1418.1052010000001</v>
      </c>
      <c r="K26" s="4">
        <v>2012</v>
      </c>
      <c r="L26">
        <f t="shared" si="6"/>
        <v>2.1781376518218627</v>
      </c>
      <c r="M26">
        <f t="shared" si="6"/>
        <v>2.6687116564417175</v>
      </c>
      <c r="N26">
        <f t="shared" si="0"/>
        <v>19.153846153846153</v>
      </c>
      <c r="O26">
        <f t="shared" si="7"/>
        <v>5.2631578947368425</v>
      </c>
      <c r="P26">
        <f t="shared" si="10"/>
        <v>2.7122572789246862</v>
      </c>
      <c r="Q26">
        <f t="shared" si="11"/>
        <v>4.6349229714677715</v>
      </c>
      <c r="S26" s="4">
        <v>2012</v>
      </c>
      <c r="T26">
        <f t="shared" si="3"/>
        <v>-0.38346943350995194</v>
      </c>
      <c r="U26">
        <f t="shared" si="9"/>
        <v>0.84243609794519669</v>
      </c>
      <c r="V26">
        <f t="shared" si="4"/>
        <v>1.8257609133182717</v>
      </c>
      <c r="W26">
        <f t="shared" si="8"/>
        <v>2.6532571751806908</v>
      </c>
      <c r="X26">
        <f t="shared" si="12"/>
        <v>1.0957613985272936</v>
      </c>
      <c r="Y26">
        <f t="shared" si="13"/>
        <v>-0.31335095544568176</v>
      </c>
      <c r="AD26" s="4">
        <v>2012</v>
      </c>
      <c r="AE26">
        <f t="shared" si="5"/>
        <v>0.11696141479099681</v>
      </c>
      <c r="AF26">
        <f t="shared" si="14"/>
        <v>0.66019417475728159</v>
      </c>
      <c r="AG26">
        <f t="shared" si="15"/>
        <v>0.9365079365079364</v>
      </c>
      <c r="AH26">
        <f t="shared" si="16"/>
        <v>1</v>
      </c>
      <c r="AI26">
        <f t="shared" si="17"/>
        <v>0.71298061027761361</v>
      </c>
      <c r="AJ26">
        <f t="shared" si="18"/>
        <v>0.19187942868192204</v>
      </c>
    </row>
    <row r="27" spans="1:36" x14ac:dyDescent="0.25">
      <c r="A27" s="4">
        <v>2013</v>
      </c>
      <c r="B27">
        <v>0.38900000000000001</v>
      </c>
      <c r="C27">
        <v>1.3089999999999999</v>
      </c>
      <c r="D27">
        <v>0.24099999999999999</v>
      </c>
      <c r="E27">
        <v>5.6000000000000001E-2</v>
      </c>
      <c r="F27">
        <v>11287.894759999999</v>
      </c>
      <c r="G27">
        <v>305.96089940000002</v>
      </c>
      <c r="K27" s="4">
        <v>2013</v>
      </c>
      <c r="L27">
        <f t="shared" si="6"/>
        <v>1.5748987854251013</v>
      </c>
      <c r="M27">
        <f t="shared" si="6"/>
        <v>2.0076687116564416</v>
      </c>
      <c r="N27">
        <f t="shared" si="0"/>
        <v>18.53846153846154</v>
      </c>
      <c r="O27">
        <f t="shared" si="7"/>
        <v>2.9473684210526319</v>
      </c>
      <c r="P27">
        <f t="shared" si="10"/>
        <v>1.5108781836827101</v>
      </c>
      <c r="Q27">
        <f t="shared" si="11"/>
        <v>1</v>
      </c>
      <c r="S27" s="4">
        <v>2013</v>
      </c>
      <c r="T27">
        <f t="shared" si="3"/>
        <v>-0.61113459086663435</v>
      </c>
      <c r="U27">
        <f t="shared" si="9"/>
        <v>-5.2387759994446274E-2</v>
      </c>
      <c r="V27">
        <f t="shared" si="4"/>
        <v>1.7351241869489455</v>
      </c>
      <c r="W27">
        <f t="shared" si="8"/>
        <v>0.49261820788095501</v>
      </c>
      <c r="X27">
        <f t="shared" si="12"/>
        <v>-0.59410764242340575</v>
      </c>
      <c r="Y27">
        <f t="shared" si="13"/>
        <v>-1.0272370958731629</v>
      </c>
      <c r="AD27" s="4">
        <v>2013</v>
      </c>
      <c r="AE27">
        <f t="shared" si="5"/>
        <v>5.7073954983922842E-2</v>
      </c>
      <c r="AF27">
        <f t="shared" si="14"/>
        <v>0.39866504854368934</v>
      </c>
      <c r="AG27">
        <f t="shared" si="15"/>
        <v>0.90476190476190477</v>
      </c>
      <c r="AH27">
        <f t="shared" si="16"/>
        <v>0.4567901234567901</v>
      </c>
      <c r="AI27">
        <f t="shared" si="17"/>
        <v>0.21272868491373417</v>
      </c>
      <c r="AJ27">
        <f t="shared" si="18"/>
        <v>0</v>
      </c>
    </row>
    <row r="28" spans="1:36" x14ac:dyDescent="0.25">
      <c r="A28" s="4">
        <v>2014</v>
      </c>
      <c r="B28">
        <v>0.45500000000000002</v>
      </c>
      <c r="C28">
        <v>1.484</v>
      </c>
      <c r="D28">
        <v>0.24199999999999999</v>
      </c>
      <c r="E28">
        <v>7.5999999999999998E-2</v>
      </c>
      <c r="F28">
        <v>14336.209269999999</v>
      </c>
      <c r="G28">
        <v>1726.8538100000001</v>
      </c>
      <c r="K28" s="4">
        <v>2014</v>
      </c>
      <c r="L28">
        <f t="shared" si="6"/>
        <v>1.8421052631578949</v>
      </c>
      <c r="M28">
        <f t="shared" si="6"/>
        <v>2.2760736196319016</v>
      </c>
      <c r="N28">
        <f t="shared" si="0"/>
        <v>18.615384615384617</v>
      </c>
      <c r="O28">
        <f t="shared" si="7"/>
        <v>4</v>
      </c>
      <c r="P28">
        <f t="shared" si="10"/>
        <v>1.918893317424305</v>
      </c>
      <c r="Q28">
        <f t="shared" si="11"/>
        <v>5.6440342978021718</v>
      </c>
      <c r="S28" s="4">
        <v>2014</v>
      </c>
      <c r="T28">
        <f t="shared" si="3"/>
        <v>-0.51028962183615767</v>
      </c>
      <c r="U28">
        <f t="shared" si="9"/>
        <v>0.31093979253325094</v>
      </c>
      <c r="V28">
        <f t="shared" si="4"/>
        <v>1.7464537777451115</v>
      </c>
      <c r="W28">
        <f t="shared" si="8"/>
        <v>1.4747268293808347</v>
      </c>
      <c r="X28">
        <f t="shared" si="12"/>
        <v>-2.0190428881075816E-2</v>
      </c>
      <c r="Y28">
        <f t="shared" si="13"/>
        <v>-0.11516502532468394</v>
      </c>
      <c r="AD28" s="4">
        <v>2014</v>
      </c>
      <c r="AE28">
        <f t="shared" si="5"/>
        <v>8.3601286173633438E-2</v>
      </c>
      <c r="AF28">
        <f t="shared" si="14"/>
        <v>0.50485436893203883</v>
      </c>
      <c r="AG28">
        <f t="shared" si="15"/>
        <v>0.90873015873015883</v>
      </c>
      <c r="AH28">
        <f t="shared" si="16"/>
        <v>0.70370370370370361</v>
      </c>
      <c r="AI28">
        <f t="shared" si="17"/>
        <v>0.38262539531947221</v>
      </c>
      <c r="AJ28">
        <f t="shared" si="18"/>
        <v>0.24514815164892206</v>
      </c>
    </row>
    <row r="29" spans="1:36" x14ac:dyDescent="0.25">
      <c r="A29" s="4">
        <v>2015</v>
      </c>
      <c r="B29">
        <v>0.80100000000000005</v>
      </c>
      <c r="C29">
        <v>1.484</v>
      </c>
      <c r="D29">
        <v>0.19800000000000001</v>
      </c>
      <c r="E29">
        <v>7.4999999999999997E-2</v>
      </c>
      <c r="F29">
        <v>17601.297470000001</v>
      </c>
      <c r="G29">
        <v>2251.0923189999999</v>
      </c>
      <c r="K29" s="4">
        <v>2015</v>
      </c>
      <c r="L29">
        <f t="shared" si="6"/>
        <v>3.2429149797570851</v>
      </c>
      <c r="M29">
        <f t="shared" si="6"/>
        <v>2.2760736196319016</v>
      </c>
      <c r="N29">
        <f t="shared" si="0"/>
        <v>15.230769230769232</v>
      </c>
      <c r="O29">
        <f t="shared" si="7"/>
        <v>3.9473684210526314</v>
      </c>
      <c r="P29">
        <f t="shared" si="10"/>
        <v>2.3559234841708148</v>
      </c>
      <c r="Q29">
        <f t="shared" si="11"/>
        <v>7.3574509795678802</v>
      </c>
      <c r="S29" s="4">
        <v>2015</v>
      </c>
      <c r="T29">
        <f t="shared" si="3"/>
        <v>1.8382488535735573E-2</v>
      </c>
      <c r="U29">
        <f t="shared" si="9"/>
        <v>0.31093979253325094</v>
      </c>
      <c r="V29">
        <f t="shared" si="4"/>
        <v>1.2479517827138158</v>
      </c>
      <c r="W29">
        <f t="shared" si="8"/>
        <v>1.4256213983058403</v>
      </c>
      <c r="X29">
        <f t="shared" si="12"/>
        <v>0.59453955241404455</v>
      </c>
      <c r="Y29">
        <f t="shared" si="13"/>
        <v>0.22134400980236996</v>
      </c>
      <c r="AD29" s="4">
        <v>2015</v>
      </c>
      <c r="AE29">
        <f t="shared" si="5"/>
        <v>0.22266881028938904</v>
      </c>
      <c r="AF29">
        <f t="shared" si="14"/>
        <v>0.50485436893203883</v>
      </c>
      <c r="AG29">
        <f t="shared" si="15"/>
        <v>0.73412698412698407</v>
      </c>
      <c r="AH29">
        <f t="shared" si="16"/>
        <v>0.69135802469135788</v>
      </c>
      <c r="AI29">
        <f t="shared" si="17"/>
        <v>0.56460390919814463</v>
      </c>
      <c r="AJ29">
        <f t="shared" si="18"/>
        <v>0.33559557421384167</v>
      </c>
    </row>
    <row r="30" spans="1:36" x14ac:dyDescent="0.25">
      <c r="A30" s="4">
        <v>2016</v>
      </c>
      <c r="B30">
        <v>1.075</v>
      </c>
      <c r="C30">
        <v>1.909</v>
      </c>
      <c r="D30">
        <v>0.246</v>
      </c>
      <c r="E30">
        <v>8.7999999999999995E-2</v>
      </c>
      <c r="F30">
        <v>25413.245200000001</v>
      </c>
      <c r="G30">
        <v>4045.9088700000002</v>
      </c>
      <c r="K30" s="4">
        <v>2016</v>
      </c>
      <c r="L30">
        <f t="shared" si="6"/>
        <v>4.3522267206477734</v>
      </c>
      <c r="M30">
        <f t="shared" si="6"/>
        <v>2.9279141104294477</v>
      </c>
      <c r="N30">
        <f t="shared" si="0"/>
        <v>18.923076923076923</v>
      </c>
      <c r="O30">
        <f t="shared" si="7"/>
        <v>4.6315789473684212</v>
      </c>
      <c r="P30">
        <f t="shared" si="10"/>
        <v>3.4015481686914093</v>
      </c>
      <c r="Q30">
        <f t="shared" si="11"/>
        <v>13.223614121720026</v>
      </c>
      <c r="S30" s="4">
        <v>2016</v>
      </c>
      <c r="T30">
        <f t="shared" si="3"/>
        <v>0.43704190541983601</v>
      </c>
      <c r="U30">
        <f t="shared" si="9"/>
        <v>1.1933067058148019</v>
      </c>
      <c r="V30">
        <f t="shared" si="4"/>
        <v>1.7917721409297744</v>
      </c>
      <c r="W30">
        <f t="shared" si="8"/>
        <v>2.0639920022807625</v>
      </c>
      <c r="X30">
        <f t="shared" si="12"/>
        <v>2.0653232457737998</v>
      </c>
      <c r="Y30">
        <f t="shared" si="13"/>
        <v>1.3734379049249756</v>
      </c>
      <c r="AD30" s="4">
        <v>2016</v>
      </c>
      <c r="AE30">
        <f t="shared" si="5"/>
        <v>0.33279742765273312</v>
      </c>
      <c r="AF30">
        <f t="shared" si="14"/>
        <v>0.76274271844660213</v>
      </c>
      <c r="AG30">
        <f t="shared" si="15"/>
        <v>0.92460317460317454</v>
      </c>
      <c r="AH30">
        <f t="shared" si="16"/>
        <v>0.85185185185185175</v>
      </c>
      <c r="AI30">
        <f t="shared" si="17"/>
        <v>1</v>
      </c>
      <c r="AJ30">
        <f t="shared" si="18"/>
        <v>0.64525716569911873</v>
      </c>
    </row>
    <row r="31" spans="1:36" x14ac:dyDescent="0.25">
      <c r="A31" s="4">
        <v>2017</v>
      </c>
      <c r="B31">
        <v>1.5389999999999999</v>
      </c>
      <c r="C31">
        <v>1.9390000000000001</v>
      </c>
      <c r="D31">
        <v>0.224</v>
      </c>
      <c r="E31">
        <v>5.2999999999999999E-2</v>
      </c>
      <c r="F31">
        <v>21785.087459999999</v>
      </c>
      <c r="G31">
        <v>3387.7002550000002</v>
      </c>
      <c r="K31" s="4">
        <v>2017</v>
      </c>
      <c r="L31">
        <f t="shared" si="6"/>
        <v>6.2307692307692308</v>
      </c>
      <c r="M31">
        <f t="shared" si="6"/>
        <v>2.973926380368098</v>
      </c>
      <c r="N31">
        <f t="shared" si="0"/>
        <v>17.230769230769234</v>
      </c>
      <c r="O31">
        <f t="shared" si="7"/>
        <v>2.7894736842105261</v>
      </c>
      <c r="P31">
        <f t="shared" si="10"/>
        <v>2.9159213540482889</v>
      </c>
      <c r="Q31">
        <f t="shared" si="11"/>
        <v>11.072330685533343</v>
      </c>
      <c r="S31" s="4">
        <v>2017</v>
      </c>
      <c r="T31">
        <f t="shared" si="3"/>
        <v>1.1460125967856118</v>
      </c>
      <c r="U31">
        <f t="shared" si="9"/>
        <v>1.2555914291052641</v>
      </c>
      <c r="V31">
        <f t="shared" si="4"/>
        <v>1.5425211434141273</v>
      </c>
      <c r="W31">
        <f t="shared" si="8"/>
        <v>0.34530191465597254</v>
      </c>
      <c r="X31">
        <f t="shared" si="12"/>
        <v>1.3822368471748443</v>
      </c>
      <c r="Y31">
        <f t="shared" si="13"/>
        <v>0.95093337284001089</v>
      </c>
      <c r="AD31" s="4">
        <v>2017</v>
      </c>
      <c r="AE31">
        <f t="shared" si="5"/>
        <v>0.51929260450160764</v>
      </c>
      <c r="AF31">
        <f t="shared" si="14"/>
        <v>0.7809466019417477</v>
      </c>
      <c r="AG31">
        <f t="shared" si="15"/>
        <v>0.83730158730158755</v>
      </c>
      <c r="AH31">
        <f t="shared" si="16"/>
        <v>0.41975308641975301</v>
      </c>
      <c r="AI31">
        <f t="shared" si="17"/>
        <v>0.79778593618310156</v>
      </c>
      <c r="AJ31">
        <f t="shared" si="18"/>
        <v>0.53169573952625526</v>
      </c>
    </row>
    <row r="32" spans="1:36" x14ac:dyDescent="0.25">
      <c r="A32" s="4">
        <v>2018</v>
      </c>
      <c r="B32">
        <v>1.538</v>
      </c>
      <c r="C32">
        <v>1.6579999999999999</v>
      </c>
      <c r="D32">
        <v>0.22800000000000001</v>
      </c>
      <c r="F32">
        <v>21274.515340000002</v>
      </c>
      <c r="G32">
        <v>4703.986054</v>
      </c>
      <c r="K32" s="4">
        <v>2018</v>
      </c>
      <c r="L32">
        <f t="shared" si="6"/>
        <v>6.2267206477732797</v>
      </c>
      <c r="M32">
        <f t="shared" si="6"/>
        <v>2.5429447852760734</v>
      </c>
      <c r="N32">
        <f t="shared" si="0"/>
        <v>17.53846153846154</v>
      </c>
      <c r="P32">
        <f t="shared" si="10"/>
        <v>2.8475815711475643</v>
      </c>
      <c r="Q32">
        <f t="shared" si="11"/>
        <v>15.37446798994473</v>
      </c>
      <c r="S32" s="4">
        <v>2018</v>
      </c>
      <c r="T32">
        <f t="shared" si="3"/>
        <v>1.1444846427093927</v>
      </c>
      <c r="U32">
        <f t="shared" si="9"/>
        <v>0.67219118761793295</v>
      </c>
      <c r="V32">
        <f t="shared" si="4"/>
        <v>1.5878395065987903</v>
      </c>
      <c r="X32">
        <f t="shared" si="12"/>
        <v>1.2861095848921873</v>
      </c>
      <c r="Y32">
        <f t="shared" si="13"/>
        <v>1.795858071366752</v>
      </c>
      <c r="AD32" s="4">
        <v>2018</v>
      </c>
      <c r="AE32">
        <f t="shared" si="5"/>
        <v>0.51889067524115751</v>
      </c>
      <c r="AF32">
        <f t="shared" si="14"/>
        <v>0.61043689320388339</v>
      </c>
      <c r="AG32">
        <f t="shared" si="15"/>
        <v>0.85317460317460325</v>
      </c>
      <c r="AI32">
        <f t="shared" si="17"/>
        <v>0.76932938311801669</v>
      </c>
      <c r="AJ32">
        <f t="shared" si="18"/>
        <v>0.75879591594300877</v>
      </c>
    </row>
    <row r="33" spans="1:36" x14ac:dyDescent="0.25">
      <c r="A33" s="4">
        <v>2019</v>
      </c>
      <c r="B33">
        <v>1.756</v>
      </c>
      <c r="C33">
        <v>1.944</v>
      </c>
      <c r="D33">
        <v>0.23699999999999999</v>
      </c>
      <c r="F33">
        <v>23572.32921</v>
      </c>
      <c r="G33">
        <v>6102.0189200000004</v>
      </c>
      <c r="K33" s="4">
        <v>2019</v>
      </c>
      <c r="L33">
        <f t="shared" si="6"/>
        <v>7.1093117408906883</v>
      </c>
      <c r="M33">
        <f t="shared" si="6"/>
        <v>2.9815950920245395</v>
      </c>
      <c r="N33">
        <f t="shared" si="0"/>
        <v>18.23076923076923</v>
      </c>
      <c r="P33">
        <f t="shared" si="10"/>
        <v>3.1551426283828761</v>
      </c>
      <c r="Q33">
        <f t="shared" si="11"/>
        <v>19.943786712505656</v>
      </c>
      <c r="S33" s="4">
        <v>2019</v>
      </c>
      <c r="T33">
        <f t="shared" si="3"/>
        <v>1.4775786313252097</v>
      </c>
      <c r="U33">
        <f t="shared" si="9"/>
        <v>1.2659722163203411</v>
      </c>
      <c r="V33">
        <f t="shared" si="4"/>
        <v>1.6898058237642821</v>
      </c>
      <c r="X33">
        <f t="shared" si="12"/>
        <v>1.7187273246900789</v>
      </c>
      <c r="Y33">
        <f t="shared" si="13"/>
        <v>2.6932562646260916</v>
      </c>
      <c r="AD33" s="4">
        <v>2019</v>
      </c>
      <c r="AE33">
        <f t="shared" si="5"/>
        <v>0.60651125401929251</v>
      </c>
      <c r="AF33">
        <f t="shared" si="14"/>
        <v>0.78398058252427183</v>
      </c>
      <c r="AG33">
        <f t="shared" si="15"/>
        <v>0.88888888888888884</v>
      </c>
      <c r="AI33">
        <f t="shared" si="17"/>
        <v>0.89739721088217939</v>
      </c>
      <c r="AJ33">
        <f t="shared" si="18"/>
        <v>1</v>
      </c>
    </row>
    <row r="34" spans="1:36" x14ac:dyDescent="0.25">
      <c r="A34" s="4">
        <v>2020</v>
      </c>
      <c r="B34">
        <v>1.5029999999999999</v>
      </c>
      <c r="C34">
        <v>2.2810000000000001</v>
      </c>
      <c r="D34">
        <v>0.221</v>
      </c>
      <c r="F34">
        <v>22344.597699999998</v>
      </c>
      <c r="G34">
        <v>4175.6235450000004</v>
      </c>
      <c r="K34" s="4">
        <v>2020</v>
      </c>
      <c r="L34">
        <f t="shared" si="6"/>
        <v>6.0850202429149798</v>
      </c>
      <c r="M34">
        <f t="shared" si="6"/>
        <v>3.4984662576687118</v>
      </c>
      <c r="N34">
        <f t="shared" si="0"/>
        <v>17</v>
      </c>
      <c r="P34">
        <f t="shared" si="10"/>
        <v>2.9908114760007614</v>
      </c>
      <c r="Q34">
        <f t="shared" si="11"/>
        <v>13.647572461672533</v>
      </c>
      <c r="S34" s="4">
        <v>2020</v>
      </c>
      <c r="T34">
        <f t="shared" si="3"/>
        <v>1.0910062500417155</v>
      </c>
      <c r="U34">
        <f t="shared" si="9"/>
        <v>1.965637274616536</v>
      </c>
      <c r="V34">
        <f t="shared" si="4"/>
        <v>1.5085323710256293</v>
      </c>
      <c r="X34">
        <f t="shared" si="12"/>
        <v>1.4875778665597501</v>
      </c>
      <c r="Y34">
        <f t="shared" si="13"/>
        <v>1.4567018379949315</v>
      </c>
      <c r="AD34" s="4">
        <v>2020</v>
      </c>
      <c r="AE34">
        <f t="shared" si="5"/>
        <v>0.50482315112540188</v>
      </c>
      <c r="AF34">
        <f t="shared" si="14"/>
        <v>0.98847087378640797</v>
      </c>
      <c r="AG34">
        <f t="shared" si="15"/>
        <v>0.82539682539682535</v>
      </c>
      <c r="AI34">
        <f t="shared" si="17"/>
        <v>0.82897003772593236</v>
      </c>
      <c r="AJ34">
        <f t="shared" si="18"/>
        <v>0.66763697531092303</v>
      </c>
    </row>
    <row r="42" spans="1:36" x14ac:dyDescent="0.25">
      <c r="C42" t="s">
        <v>87</v>
      </c>
    </row>
    <row r="58" spans="12:33" x14ac:dyDescent="0.25">
      <c r="AG58" t="s">
        <v>88</v>
      </c>
    </row>
    <row r="61" spans="12:33" x14ac:dyDescent="0.25">
      <c r="L61" t="s">
        <v>86</v>
      </c>
    </row>
  </sheetData>
  <phoneticPr fontId="1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GoMex SST</vt:lpstr>
      <vt:lpstr>EBFT SSB</vt:lpstr>
      <vt:lpstr>figures &amp; tables</vt:lpstr>
      <vt:lpstr>Input Indices</vt:lpstr>
    </vt:vector>
  </TitlesOfParts>
  <Company>University Of Maine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Carrano</dc:creator>
  <cp:lastModifiedBy>Cole Carrano</cp:lastModifiedBy>
  <dcterms:created xsi:type="dcterms:W3CDTF">2025-03-24T14:14:16Z</dcterms:created>
  <dcterms:modified xsi:type="dcterms:W3CDTF">2025-08-27T15:30:41Z</dcterms:modified>
</cp:coreProperties>
</file>