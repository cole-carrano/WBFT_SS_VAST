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.carrano\Documents\BFT postdoc\WBFT\Statistics\WBFT_SS3_AltRuns\"/>
    </mc:Choice>
  </mc:AlternateContent>
  <xr:revisionPtr revIDLastSave="0" documentId="13_ncr:1_{7B3BE55F-44F8-494B-93A6-D76E1AFAA977}" xr6:coauthVersionLast="47" xr6:coauthVersionMax="47" xr10:uidLastSave="{00000000-0000-0000-0000-000000000000}"/>
  <bookViews>
    <workbookView xWindow="28680" yWindow="4590" windowWidth="29040" windowHeight="15720" activeTab="1" xr2:uid="{97637FA8-E3FC-4994-8743-22B01F76F72A}"/>
  </bookViews>
  <sheets>
    <sheet name="Index_US_Only_Model" sheetId="1" r:id="rId1"/>
    <sheet name="Index_US_CAN_joint" sheetId="2" r:id="rId2"/>
    <sheet name="table for pap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2" l="1"/>
  <c r="H96" i="2" s="1"/>
  <c r="F95" i="2"/>
  <c r="H75" i="2" s="1"/>
  <c r="B96" i="2"/>
  <c r="B95" i="2"/>
  <c r="D79" i="2" s="1"/>
  <c r="D85" i="2" l="1"/>
  <c r="H95" i="2"/>
  <c r="D82" i="2"/>
  <c r="H92" i="2"/>
  <c r="D80" i="2"/>
  <c r="H91" i="2"/>
  <c r="D93" i="2"/>
  <c r="H90" i="2"/>
  <c r="D92" i="2"/>
  <c r="D78" i="2"/>
  <c r="H89" i="2"/>
  <c r="D91" i="2"/>
  <c r="D77" i="2"/>
  <c r="H88" i="2"/>
  <c r="D84" i="2"/>
  <c r="D90" i="2"/>
  <c r="D76" i="2"/>
  <c r="H87" i="2"/>
  <c r="D75" i="2"/>
  <c r="H86" i="2"/>
  <c r="H85" i="2"/>
  <c r="D89" i="2"/>
  <c r="D88" i="2"/>
  <c r="D87" i="2"/>
  <c r="H84" i="2"/>
  <c r="D86" i="2"/>
  <c r="H74" i="2"/>
  <c r="H83" i="2"/>
  <c r="H82" i="2"/>
  <c r="H81" i="2"/>
  <c r="D83" i="2"/>
  <c r="H94" i="2"/>
  <c r="H80" i="2"/>
  <c r="H79" i="2"/>
  <c r="H78" i="2"/>
  <c r="H77" i="2"/>
  <c r="H76" i="2"/>
  <c r="H93" i="2"/>
  <c r="D74" i="2"/>
  <c r="D81" i="2"/>
  <c r="D94" i="2"/>
</calcChain>
</file>

<file path=xl/sharedStrings.xml><?xml version="1.0" encoding="utf-8"?>
<sst xmlns="http://schemas.openxmlformats.org/spreadsheetml/2006/main" count="323" uniqueCount="29">
  <si>
    <t>Model</t>
  </si>
  <si>
    <t>Spatial Strata</t>
  </si>
  <si>
    <t>Time</t>
  </si>
  <si>
    <t>Units</t>
  </si>
  <si>
    <t>Estimate</t>
  </si>
  <si>
    <t>Std. Error for Estimate</t>
  </si>
  <si>
    <t>Std. Error for ln(Estimate)</t>
  </si>
  <si>
    <t>US Only</t>
  </si>
  <si>
    <t>US</t>
  </si>
  <si>
    <t xml:space="preserve"> [count*km2/unitless]</t>
  </si>
  <si>
    <t>SS3 format</t>
  </si>
  <si>
    <t>obs</t>
  </si>
  <si>
    <t>stderr</t>
  </si>
  <si>
    <t>#_</t>
  </si>
  <si>
    <t>IDX20_VAST_USA</t>
  </si>
  <si>
    <t>Stratum</t>
  </si>
  <si>
    <t>Combined US-CA</t>
  </si>
  <si>
    <t>Combined Area</t>
  </si>
  <si>
    <t>[counts*km2/unitless]</t>
  </si>
  <si>
    <t>Canada</t>
  </si>
  <si>
    <t>US only</t>
  </si>
  <si>
    <t>usa/can</t>
  </si>
  <si>
    <t>mean</t>
  </si>
  <si>
    <t>std</t>
  </si>
  <si>
    <t>rescaled</t>
  </si>
  <si>
    <t>Year</t>
  </si>
  <si>
    <t>value</t>
  </si>
  <si>
    <t>std err</t>
  </si>
  <si>
    <t>US/Can 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</si>
</sst>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64" fontId="0" fillId="0" borderId="0" xfId="0" applyNumberFormat="1"/>
    <xf numFmtId="0" fontId="16" fillId="0" borderId="0" xfId="0" applyFont="1"/>
    <xf numFmtId="0" fontId="16" fillId="0" borderId="12" xfId="0" applyFont="1" applyBorder="1"/>
    <xf numFmtId="165" fontId="0" fillId="0" borderId="0" xfId="0" applyNumberFormat="1"/>
    <xf numFmtId="165" fontId="0" fillId="0" borderId="12" xfId="0" applyNumberFormat="1" applyBorder="1"/>
    <xf numFmtId="0" fontId="18" fillId="34" borderId="1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border diagonalUp="0" diagonalDown="0">
        <left style="thin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VAST indices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Index_US_CAN_joint!$B$73</c:f>
              <c:strCache>
                <c:ptCount val="1"/>
                <c:pt idx="0">
                  <c:v>US only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Index_US_CAN_joint!$C$2:$C$20</c:f>
              <c:numCache>
                <c:formatCode>General</c:formatCode>
                <c:ptCount val="1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</c:numCache>
            </c:numRef>
          </c:cat>
          <c:val>
            <c:numRef>
              <c:f>Index_US_CAN_joint!$B$74:$B$93</c:f>
              <c:numCache>
                <c:formatCode>General</c:formatCode>
                <c:ptCount val="20"/>
                <c:pt idx="0">
                  <c:v>3975.8288950000001</c:v>
                </c:pt>
                <c:pt idx="1">
                  <c:v>1385.6845969999999</c:v>
                </c:pt>
                <c:pt idx="2">
                  <c:v>622.15180610000004</c:v>
                </c:pt>
                <c:pt idx="3">
                  <c:v>1003.909283</c:v>
                </c:pt>
                <c:pt idx="4">
                  <c:v>1013.6530289999999</c:v>
                </c:pt>
                <c:pt idx="5">
                  <c:v>1240.7041039999999</c:v>
                </c:pt>
                <c:pt idx="6">
                  <c:v>1242.4527169999999</c:v>
                </c:pt>
                <c:pt idx="7">
                  <c:v>1756.1680650000001</c:v>
                </c:pt>
                <c:pt idx="8">
                  <c:v>3297.9830240000001</c:v>
                </c:pt>
                <c:pt idx="9">
                  <c:v>2440.8888200000001</c:v>
                </c:pt>
                <c:pt idx="10">
                  <c:v>1418.1052010000001</c:v>
                </c:pt>
                <c:pt idx="11">
                  <c:v>305.96089940000002</c:v>
                </c:pt>
                <c:pt idx="12">
                  <c:v>1726.8538100000001</c:v>
                </c:pt>
                <c:pt idx="13">
                  <c:v>2251.0923189999999</c:v>
                </c:pt>
                <c:pt idx="14">
                  <c:v>4045.9088700000002</c:v>
                </c:pt>
                <c:pt idx="15">
                  <c:v>3387.7002550000002</c:v>
                </c:pt>
                <c:pt idx="16">
                  <c:v>4703.986054</c:v>
                </c:pt>
                <c:pt idx="17">
                  <c:v>6102.0189200000004</c:v>
                </c:pt>
                <c:pt idx="18">
                  <c:v>4175.6235450000004</c:v>
                </c:pt>
                <c:pt idx="19">
                  <c:v>4254.5614969999997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D-48B8-8942-FA74FEBC9EB0}"/>
            </c:ext>
          </c:extLst>
        </c:ser>
        <c:ser>
          <c:idx val="1"/>
          <c:order val="1"/>
          <c:tx>
            <c:v>Joint US/CAN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Index_US_CAN_joint!$C$2:$C$20</c:f>
              <c:numCache>
                <c:formatCode>General</c:formatCode>
                <c:ptCount val="1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</c:numCache>
            </c:numRef>
          </c:cat>
          <c:val>
            <c:numRef>
              <c:f>Index_US_CAN_joint!$F$74:$F$93</c:f>
              <c:numCache>
                <c:formatCode>General</c:formatCode>
                <c:ptCount val="20"/>
                <c:pt idx="0">
                  <c:v>10967.44434</c:v>
                </c:pt>
                <c:pt idx="1">
                  <c:v>7471.081972</c:v>
                </c:pt>
                <c:pt idx="2">
                  <c:v>11105.694659999999</c:v>
                </c:pt>
                <c:pt idx="3">
                  <c:v>12403.553190000001</c:v>
                </c:pt>
                <c:pt idx="4">
                  <c:v>13573.12781</c:v>
                </c:pt>
                <c:pt idx="5">
                  <c:v>10472.774520000001</c:v>
                </c:pt>
                <c:pt idx="6">
                  <c:v>9668.9007970000002</c:v>
                </c:pt>
                <c:pt idx="7">
                  <c:v>10889.158100000001</c:v>
                </c:pt>
                <c:pt idx="8">
                  <c:v>13461.79803</c:v>
                </c:pt>
                <c:pt idx="9">
                  <c:v>13273.636850000001</c:v>
                </c:pt>
                <c:pt idx="10">
                  <c:v>20263.496459999998</c:v>
                </c:pt>
                <c:pt idx="11">
                  <c:v>11287.894759999999</c:v>
                </c:pt>
                <c:pt idx="12">
                  <c:v>14336.209269999999</c:v>
                </c:pt>
                <c:pt idx="13">
                  <c:v>17601.297470000001</c:v>
                </c:pt>
                <c:pt idx="14">
                  <c:v>25413.245200000001</c:v>
                </c:pt>
                <c:pt idx="15">
                  <c:v>21785.087459999999</c:v>
                </c:pt>
                <c:pt idx="16">
                  <c:v>21274.515340000002</c:v>
                </c:pt>
                <c:pt idx="17">
                  <c:v>23572.32921</c:v>
                </c:pt>
                <c:pt idx="18">
                  <c:v>22344.597699999998</c:v>
                </c:pt>
                <c:pt idx="19">
                  <c:v>27340.414479999999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9D-48B8-8942-FA74FEBC9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518591"/>
        <c:axId val="14515200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CAN only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Index_US_CAN_joint!$C$2:$C$20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2002</c:v>
                      </c:pt>
                      <c:pt idx="1">
                        <c:v>2003</c:v>
                      </c:pt>
                      <c:pt idx="2">
                        <c:v>2004</c:v>
                      </c:pt>
                      <c:pt idx="3">
                        <c:v>2005</c:v>
                      </c:pt>
                      <c:pt idx="4">
                        <c:v>2006</c:v>
                      </c:pt>
                      <c:pt idx="5">
                        <c:v>2007</c:v>
                      </c:pt>
                      <c:pt idx="6">
                        <c:v>2008</c:v>
                      </c:pt>
                      <c:pt idx="7">
                        <c:v>2009</c:v>
                      </c:pt>
                      <c:pt idx="8">
                        <c:v>2010</c:v>
                      </c:pt>
                      <c:pt idx="9">
                        <c:v>2011</c:v>
                      </c:pt>
                      <c:pt idx="10">
                        <c:v>2012</c:v>
                      </c:pt>
                      <c:pt idx="11">
                        <c:v>2013</c:v>
                      </c:pt>
                      <c:pt idx="12">
                        <c:v>2014</c:v>
                      </c:pt>
                      <c:pt idx="13">
                        <c:v>2015</c:v>
                      </c:pt>
                      <c:pt idx="14">
                        <c:v>2016</c:v>
                      </c:pt>
                      <c:pt idx="15">
                        <c:v>2017</c:v>
                      </c:pt>
                      <c:pt idx="16">
                        <c:v>2018</c:v>
                      </c:pt>
                      <c:pt idx="17">
                        <c:v>2019</c:v>
                      </c:pt>
                      <c:pt idx="18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Index_US_CAN_joint!$E$23:$E$42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5483.1520010000004</c:v>
                      </c:pt>
                      <c:pt idx="1">
                        <c:v>3089.8424580000001</c:v>
                      </c:pt>
                      <c:pt idx="2">
                        <c:v>4334.6916019999999</c:v>
                      </c:pt>
                      <c:pt idx="3">
                        <c:v>4664.0563529999999</c:v>
                      </c:pt>
                      <c:pt idx="4">
                        <c:v>4841.4998900000001</c:v>
                      </c:pt>
                      <c:pt idx="5">
                        <c:v>3438.421104</c:v>
                      </c:pt>
                      <c:pt idx="6">
                        <c:v>3109.4059430000002</c:v>
                      </c:pt>
                      <c:pt idx="7">
                        <c:v>3763.4604100000001</c:v>
                      </c:pt>
                      <c:pt idx="8">
                        <c:v>5159.9466089999996</c:v>
                      </c:pt>
                      <c:pt idx="9">
                        <c:v>5141.9261530000003</c:v>
                      </c:pt>
                      <c:pt idx="10">
                        <c:v>7350.4414120000001</c:v>
                      </c:pt>
                      <c:pt idx="11">
                        <c:v>3421.637772</c:v>
                      </c:pt>
                      <c:pt idx="12">
                        <c:v>4759.7283289999996</c:v>
                      </c:pt>
                      <c:pt idx="13">
                        <c:v>5942.951693</c:v>
                      </c:pt>
                      <c:pt idx="14">
                        <c:v>8319.0434120000009</c:v>
                      </c:pt>
                      <c:pt idx="15">
                        <c:v>8283.0495310000006</c:v>
                      </c:pt>
                      <c:pt idx="16">
                        <c:v>8140.0442169999997</c:v>
                      </c:pt>
                      <c:pt idx="17">
                        <c:v>10646.64178</c:v>
                      </c:pt>
                      <c:pt idx="18">
                        <c:v>9976.623861</c:v>
                      </c:pt>
                      <c:pt idx="19">
                        <c:v>11657.569159999999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40A-411A-9EAF-15EE0B6C8B0C}"/>
                  </c:ext>
                </c:extLst>
              </c15:ser>
            </c15:filteredLineSeries>
          </c:ext>
        </c:extLst>
      </c:lineChart>
      <c:catAx>
        <c:axId val="1451518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20031"/>
        <c:crosses val="autoZero"/>
        <c:auto val="1"/>
        <c:lblAlgn val="ctr"/>
        <c:lblOffset val="100"/>
        <c:noMultiLvlLbl val="0"/>
      </c:catAx>
      <c:valAx>
        <c:axId val="14515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1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VAST indices</a:t>
            </a:r>
            <a:r>
              <a:rPr lang="en-US" baseline="0"/>
              <a:t> (standardized)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 ONLY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Index_US_CAN_joint!$C$2:$C$22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Index_US_CAN_joint!$E$44:$E$62</c:f>
              <c:numCache>
                <c:formatCode>General</c:formatCode>
                <c:ptCount val="19"/>
                <c:pt idx="0">
                  <c:v>5484.2923350000001</c:v>
                </c:pt>
                <c:pt idx="1">
                  <c:v>4381.2395130000004</c:v>
                </c:pt>
                <c:pt idx="2">
                  <c:v>6771.0030569999999</c:v>
                </c:pt>
                <c:pt idx="3">
                  <c:v>7739.4968369999997</c:v>
                </c:pt>
                <c:pt idx="4">
                  <c:v>8731.6279200000008</c:v>
                </c:pt>
                <c:pt idx="5">
                  <c:v>7034.3534149999996</c:v>
                </c:pt>
                <c:pt idx="6">
                  <c:v>6559.4948539999996</c:v>
                </c:pt>
                <c:pt idx="7">
                  <c:v>7125.6976910000003</c:v>
                </c:pt>
                <c:pt idx="8">
                  <c:v>8301.8514180000002</c:v>
                </c:pt>
                <c:pt idx="9">
                  <c:v>8131.7106940000003</c:v>
                </c:pt>
                <c:pt idx="10">
                  <c:v>12913.055050000001</c:v>
                </c:pt>
                <c:pt idx="11">
                  <c:v>7866.2569869999998</c:v>
                </c:pt>
                <c:pt idx="12">
                  <c:v>9576.4809459999997</c:v>
                </c:pt>
                <c:pt idx="13">
                  <c:v>11658.34578</c:v>
                </c:pt>
                <c:pt idx="14">
                  <c:v>17094.201789999999</c:v>
                </c:pt>
                <c:pt idx="15">
                  <c:v>13502.03793</c:v>
                </c:pt>
                <c:pt idx="16">
                  <c:v>13134.47112</c:v>
                </c:pt>
                <c:pt idx="17">
                  <c:v>12925.68743</c:v>
                </c:pt>
                <c:pt idx="18">
                  <c:v>12367.973840000001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5-48DB-944D-DEDEE7252E78}"/>
            </c:ext>
          </c:extLst>
        </c:ser>
        <c:ser>
          <c:idx val="1"/>
          <c:order val="1"/>
          <c:tx>
            <c:v>Joint US/CAN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Index_US_CAN_joint!$C$2:$C$22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Index_US_CAN_joint!$E$2:$E$20</c:f>
              <c:numCache>
                <c:formatCode>General</c:formatCode>
                <c:ptCount val="19"/>
                <c:pt idx="0">
                  <c:v>10967.44434</c:v>
                </c:pt>
                <c:pt idx="1">
                  <c:v>7471.081972</c:v>
                </c:pt>
                <c:pt idx="2">
                  <c:v>11105.694659999999</c:v>
                </c:pt>
                <c:pt idx="3">
                  <c:v>12403.553190000001</c:v>
                </c:pt>
                <c:pt idx="4">
                  <c:v>13573.12781</c:v>
                </c:pt>
                <c:pt idx="5">
                  <c:v>10472.774520000001</c:v>
                </c:pt>
                <c:pt idx="6">
                  <c:v>9668.9007970000002</c:v>
                </c:pt>
                <c:pt idx="7">
                  <c:v>10889.158100000001</c:v>
                </c:pt>
                <c:pt idx="8">
                  <c:v>13461.79803</c:v>
                </c:pt>
                <c:pt idx="9">
                  <c:v>13273.636850000001</c:v>
                </c:pt>
                <c:pt idx="10">
                  <c:v>20263.496459999998</c:v>
                </c:pt>
                <c:pt idx="11">
                  <c:v>11287.894759999999</c:v>
                </c:pt>
                <c:pt idx="12">
                  <c:v>14336.209269999999</c:v>
                </c:pt>
                <c:pt idx="13">
                  <c:v>17601.297470000001</c:v>
                </c:pt>
                <c:pt idx="14">
                  <c:v>25413.245200000001</c:v>
                </c:pt>
                <c:pt idx="15">
                  <c:v>21785.087459999999</c:v>
                </c:pt>
                <c:pt idx="16">
                  <c:v>21274.515340000002</c:v>
                </c:pt>
                <c:pt idx="17">
                  <c:v>23572.32921</c:v>
                </c:pt>
                <c:pt idx="18">
                  <c:v>22344.597699999998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5-48DB-944D-DEDEE7252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779919"/>
        <c:axId val="499771279"/>
      </c:lineChart>
      <c:catAx>
        <c:axId val="4997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771279"/>
        <c:crosses val="autoZero"/>
        <c:auto val="1"/>
        <c:lblAlgn val="ctr"/>
        <c:lblOffset val="100"/>
        <c:noMultiLvlLbl val="0"/>
      </c:catAx>
      <c:valAx>
        <c:axId val="49977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7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55</xdr:row>
      <xdr:rowOff>95250</xdr:rowOff>
    </xdr:from>
    <xdr:to>
      <xdr:col>17</xdr:col>
      <xdr:colOff>333375</xdr:colOff>
      <xdr:row>69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B1EC7-62E2-17C1-F1B7-A46187223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76</xdr:row>
      <xdr:rowOff>119062</xdr:rowOff>
    </xdr:from>
    <xdr:to>
      <xdr:col>19</xdr:col>
      <xdr:colOff>95250</xdr:colOff>
      <xdr:row>91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CD21C-7F0B-E6FA-AD8F-9BB5F1861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114300</xdr:colOff>
      <xdr:row>40</xdr:row>
      <xdr:rowOff>123825</xdr:rowOff>
    </xdr:from>
    <xdr:to>
      <xdr:col>17</xdr:col>
      <xdr:colOff>431689</xdr:colOff>
      <xdr:row>55</xdr:row>
      <xdr:rowOff>18898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5BE9F0-98D9-CC6D-EFE4-FCC77C40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38925" y="7743825"/>
          <a:ext cx="4584589" cy="27525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19050</xdr:colOff>
      <xdr:row>22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FE1F1-9560-47EE-E206-B7A3099D9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90500"/>
          <a:ext cx="3676650" cy="401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39FDF9-851C-4F57-97B0-D51476BCE27F}" name="Table2" displayName="Table2" ref="C2:G21" headerRowCount="0" totalsRowShown="0">
  <tableColumns count="5">
    <tableColumn id="1" xr3:uid="{8FEC2FD4-9C48-4111-84D3-FE1EE69F0490}" name="Column1"/>
    <tableColumn id="2" xr3:uid="{5B7245F7-AE44-4707-970C-03C4942C043F}" name="Column2"/>
    <tableColumn id="3" xr3:uid="{95912F4B-B38B-4711-8442-85D387B1FFE1}" name="Column3"/>
    <tableColumn id="4" xr3:uid="{17BE323D-A29E-406D-8818-28EA640E6CC1}" name="Column4" dataDxfId="0"/>
    <tableColumn id="5" xr3:uid="{F9E73528-F4DC-4700-81EA-87AFD64D2952}" name="Column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5B6D-5E8F-4FC2-ABD4-5DF2126E8533}">
  <dimension ref="A1:Q22"/>
  <sheetViews>
    <sheetView topLeftCell="A22" workbookViewId="0">
      <selection activeCell="E2" sqref="E2:E20"/>
    </sheetView>
  </sheetViews>
  <sheetFormatPr defaultRowHeight="15" x14ac:dyDescent="0.25"/>
  <cols>
    <col min="10" max="10" width="9.140625" style="1"/>
    <col min="11" max="11" width="25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t="s">
        <v>10</v>
      </c>
      <c r="N1" t="s">
        <v>11</v>
      </c>
      <c r="O1" t="s">
        <v>12</v>
      </c>
    </row>
    <row r="2" spans="1:17" x14ac:dyDescent="0.25">
      <c r="A2" t="s">
        <v>7</v>
      </c>
      <c r="B2" t="s">
        <v>8</v>
      </c>
      <c r="C2">
        <v>2002</v>
      </c>
      <c r="D2" t="s">
        <v>9</v>
      </c>
      <c r="E2">
        <v>3975.8288950000001</v>
      </c>
      <c r="F2">
        <v>743.6964352</v>
      </c>
      <c r="G2">
        <v>0.18705443699999999</v>
      </c>
      <c r="K2">
        <v>2002</v>
      </c>
      <c r="L2">
        <v>8</v>
      </c>
      <c r="M2">
        <v>37</v>
      </c>
      <c r="N2">
        <v>3975.8288950000001</v>
      </c>
      <c r="O2">
        <v>743.6964352</v>
      </c>
      <c r="P2" t="s">
        <v>13</v>
      </c>
      <c r="Q2" t="s">
        <v>14</v>
      </c>
    </row>
    <row r="3" spans="1:17" x14ac:dyDescent="0.25">
      <c r="A3" t="s">
        <v>7</v>
      </c>
      <c r="B3" t="s">
        <v>8</v>
      </c>
      <c r="C3">
        <v>2003</v>
      </c>
      <c r="D3" t="s">
        <v>9</v>
      </c>
      <c r="E3">
        <v>1385.6845969999999</v>
      </c>
      <c r="F3">
        <v>351.35007460000003</v>
      </c>
      <c r="G3">
        <v>0.25355703299999999</v>
      </c>
      <c r="K3">
        <v>2003</v>
      </c>
      <c r="L3">
        <v>8</v>
      </c>
      <c r="M3">
        <v>37</v>
      </c>
      <c r="N3">
        <v>1385.6845969999999</v>
      </c>
      <c r="O3">
        <v>351.35007460000003</v>
      </c>
      <c r="P3" t="s">
        <v>13</v>
      </c>
      <c r="Q3" t="s">
        <v>14</v>
      </c>
    </row>
    <row r="4" spans="1:17" x14ac:dyDescent="0.25">
      <c r="A4" t="s">
        <v>7</v>
      </c>
      <c r="B4" t="s">
        <v>8</v>
      </c>
      <c r="C4">
        <v>2004</v>
      </c>
      <c r="D4" t="s">
        <v>9</v>
      </c>
      <c r="E4">
        <v>622.15180610000004</v>
      </c>
      <c r="F4">
        <v>225.05758130000001</v>
      </c>
      <c r="G4">
        <v>0.36174062200000001</v>
      </c>
      <c r="K4">
        <v>2004</v>
      </c>
      <c r="L4">
        <v>8</v>
      </c>
      <c r="M4">
        <v>37</v>
      </c>
      <c r="N4">
        <v>622.15180610000004</v>
      </c>
      <c r="O4">
        <v>225.05758130000001</v>
      </c>
      <c r="P4" t="s">
        <v>13</v>
      </c>
      <c r="Q4" t="s">
        <v>14</v>
      </c>
    </row>
    <row r="5" spans="1:17" x14ac:dyDescent="0.25">
      <c r="A5" t="s">
        <v>7</v>
      </c>
      <c r="B5" t="s">
        <v>8</v>
      </c>
      <c r="C5">
        <v>2005</v>
      </c>
      <c r="D5" t="s">
        <v>9</v>
      </c>
      <c r="E5">
        <v>1003.909283</v>
      </c>
      <c r="F5">
        <v>291.61367200000001</v>
      </c>
      <c r="G5">
        <v>0.29047811099999998</v>
      </c>
      <c r="K5">
        <v>2005</v>
      </c>
      <c r="L5">
        <v>8</v>
      </c>
      <c r="M5">
        <v>37</v>
      </c>
      <c r="N5">
        <v>1003.909283</v>
      </c>
      <c r="O5">
        <v>291.61367200000001</v>
      </c>
      <c r="P5" t="s">
        <v>13</v>
      </c>
      <c r="Q5" t="s">
        <v>14</v>
      </c>
    </row>
    <row r="6" spans="1:17" x14ac:dyDescent="0.25">
      <c r="A6" t="s">
        <v>7</v>
      </c>
      <c r="B6" t="s">
        <v>8</v>
      </c>
      <c r="C6">
        <v>2006</v>
      </c>
      <c r="D6" t="s">
        <v>9</v>
      </c>
      <c r="E6">
        <v>1013.6530289999999</v>
      </c>
      <c r="F6">
        <v>377.58904269999999</v>
      </c>
      <c r="G6">
        <v>0.37250324499999998</v>
      </c>
      <c r="K6">
        <v>2006</v>
      </c>
      <c r="L6">
        <v>8</v>
      </c>
      <c r="M6">
        <v>37</v>
      </c>
      <c r="N6">
        <v>1013.6530289999999</v>
      </c>
      <c r="O6">
        <v>377.58904269999999</v>
      </c>
      <c r="P6" t="s">
        <v>13</v>
      </c>
      <c r="Q6" t="s">
        <v>14</v>
      </c>
    </row>
    <row r="7" spans="1:17" x14ac:dyDescent="0.25">
      <c r="A7" t="s">
        <v>7</v>
      </c>
      <c r="B7" t="s">
        <v>8</v>
      </c>
      <c r="C7">
        <v>2007</v>
      </c>
      <c r="D7" t="s">
        <v>9</v>
      </c>
      <c r="E7">
        <v>1240.7041039999999</v>
      </c>
      <c r="F7">
        <v>393.5841466</v>
      </c>
      <c r="G7">
        <v>0.31722644</v>
      </c>
      <c r="K7">
        <v>2007</v>
      </c>
      <c r="L7">
        <v>8</v>
      </c>
      <c r="M7">
        <v>37</v>
      </c>
      <c r="N7">
        <v>1240.7041039999999</v>
      </c>
      <c r="O7">
        <v>393.5841466</v>
      </c>
      <c r="P7" t="s">
        <v>13</v>
      </c>
      <c r="Q7" t="s">
        <v>14</v>
      </c>
    </row>
    <row r="8" spans="1:17" x14ac:dyDescent="0.25">
      <c r="A8" t="s">
        <v>7</v>
      </c>
      <c r="B8" t="s">
        <v>8</v>
      </c>
      <c r="C8">
        <v>2008</v>
      </c>
      <c r="D8" t="s">
        <v>9</v>
      </c>
      <c r="E8">
        <v>1242.4527169999999</v>
      </c>
      <c r="F8">
        <v>345.25079779999999</v>
      </c>
      <c r="G8">
        <v>0.27787842000000001</v>
      </c>
      <c r="K8">
        <v>2008</v>
      </c>
      <c r="L8">
        <v>8</v>
      </c>
      <c r="M8">
        <v>37</v>
      </c>
      <c r="N8">
        <v>1242.4527169999999</v>
      </c>
      <c r="O8">
        <v>345.25079779999999</v>
      </c>
      <c r="P8" t="s">
        <v>13</v>
      </c>
      <c r="Q8" t="s">
        <v>14</v>
      </c>
    </row>
    <row r="9" spans="1:17" x14ac:dyDescent="0.25">
      <c r="A9" t="s">
        <v>7</v>
      </c>
      <c r="B9" t="s">
        <v>8</v>
      </c>
      <c r="C9">
        <v>2009</v>
      </c>
      <c r="D9" t="s">
        <v>9</v>
      </c>
      <c r="E9">
        <v>1756.1680650000001</v>
      </c>
      <c r="F9">
        <v>494.47151719999999</v>
      </c>
      <c r="G9">
        <v>0.28156275400000003</v>
      </c>
      <c r="K9">
        <v>2009</v>
      </c>
      <c r="L9">
        <v>8</v>
      </c>
      <c r="M9">
        <v>37</v>
      </c>
      <c r="N9">
        <v>1756.1680650000001</v>
      </c>
      <c r="O9">
        <v>494.47151719999999</v>
      </c>
      <c r="P9" t="s">
        <v>13</v>
      </c>
      <c r="Q9" t="s">
        <v>14</v>
      </c>
    </row>
    <row r="10" spans="1:17" x14ac:dyDescent="0.25">
      <c r="A10" t="s">
        <v>7</v>
      </c>
      <c r="B10" t="s">
        <v>8</v>
      </c>
      <c r="C10">
        <v>2010</v>
      </c>
      <c r="D10" t="s">
        <v>9</v>
      </c>
      <c r="E10">
        <v>3297.9830240000001</v>
      </c>
      <c r="F10">
        <v>727.84513830000003</v>
      </c>
      <c r="G10">
        <v>0.22069402199999999</v>
      </c>
      <c r="K10">
        <v>2010</v>
      </c>
      <c r="L10">
        <v>8</v>
      </c>
      <c r="M10">
        <v>37</v>
      </c>
      <c r="N10">
        <v>3297.9830240000001</v>
      </c>
      <c r="O10">
        <v>727.84513830000003</v>
      </c>
      <c r="P10" t="s">
        <v>13</v>
      </c>
      <c r="Q10" t="s">
        <v>14</v>
      </c>
    </row>
    <row r="11" spans="1:17" x14ac:dyDescent="0.25">
      <c r="A11" t="s">
        <v>7</v>
      </c>
      <c r="B11" t="s">
        <v>8</v>
      </c>
      <c r="C11">
        <v>2011</v>
      </c>
      <c r="D11" t="s">
        <v>9</v>
      </c>
      <c r="E11">
        <v>2440.8888200000001</v>
      </c>
      <c r="F11">
        <v>454.97548260000002</v>
      </c>
      <c r="G11">
        <v>0.18639746300000001</v>
      </c>
      <c r="K11">
        <v>2011</v>
      </c>
      <c r="L11">
        <v>8</v>
      </c>
      <c r="M11">
        <v>37</v>
      </c>
      <c r="N11">
        <v>2440.8888200000001</v>
      </c>
      <c r="O11">
        <v>454.97548260000002</v>
      </c>
      <c r="P11" t="s">
        <v>13</v>
      </c>
      <c r="Q11" t="s">
        <v>14</v>
      </c>
    </row>
    <row r="12" spans="1:17" x14ac:dyDescent="0.25">
      <c r="A12" t="s">
        <v>7</v>
      </c>
      <c r="B12" t="s">
        <v>8</v>
      </c>
      <c r="C12">
        <v>2012</v>
      </c>
      <c r="D12" t="s">
        <v>9</v>
      </c>
      <c r="E12">
        <v>1418.1052010000001</v>
      </c>
      <c r="F12">
        <v>297.51291370000001</v>
      </c>
      <c r="G12">
        <v>0.209796081</v>
      </c>
      <c r="K12">
        <v>2012</v>
      </c>
      <c r="L12">
        <v>8</v>
      </c>
      <c r="M12">
        <v>37</v>
      </c>
      <c r="N12">
        <v>1418.1052010000001</v>
      </c>
      <c r="O12">
        <v>297.51291370000001</v>
      </c>
      <c r="P12" t="s">
        <v>13</v>
      </c>
      <c r="Q12" t="s">
        <v>14</v>
      </c>
    </row>
    <row r="13" spans="1:17" x14ac:dyDescent="0.25">
      <c r="A13" t="s">
        <v>7</v>
      </c>
      <c r="B13" t="s">
        <v>8</v>
      </c>
      <c r="C13">
        <v>2013</v>
      </c>
      <c r="D13" t="s">
        <v>9</v>
      </c>
      <c r="E13">
        <v>305.96089940000002</v>
      </c>
      <c r="F13">
        <v>115.15853490000001</v>
      </c>
      <c r="G13">
        <v>0.37638317500000001</v>
      </c>
      <c r="K13">
        <v>2013</v>
      </c>
      <c r="L13">
        <v>8</v>
      </c>
      <c r="M13">
        <v>37</v>
      </c>
      <c r="N13">
        <v>305.96089940000002</v>
      </c>
      <c r="O13">
        <v>115.15853490000001</v>
      </c>
      <c r="P13" t="s">
        <v>13</v>
      </c>
      <c r="Q13" t="s">
        <v>14</v>
      </c>
    </row>
    <row r="14" spans="1:17" x14ac:dyDescent="0.25">
      <c r="A14" t="s">
        <v>7</v>
      </c>
      <c r="B14" t="s">
        <v>8</v>
      </c>
      <c r="C14">
        <v>2014</v>
      </c>
      <c r="D14" t="s">
        <v>9</v>
      </c>
      <c r="E14">
        <v>1726.8538100000001</v>
      </c>
      <c r="F14">
        <v>339.04375640000001</v>
      </c>
      <c r="G14">
        <v>0.19633610800000001</v>
      </c>
      <c r="K14">
        <v>2014</v>
      </c>
      <c r="L14">
        <v>8</v>
      </c>
      <c r="M14">
        <v>37</v>
      </c>
      <c r="N14">
        <v>1726.8538100000001</v>
      </c>
      <c r="O14">
        <v>339.04375640000001</v>
      </c>
      <c r="P14" t="s">
        <v>13</v>
      </c>
      <c r="Q14" t="s">
        <v>14</v>
      </c>
    </row>
    <row r="15" spans="1:17" x14ac:dyDescent="0.25">
      <c r="A15" t="s">
        <v>7</v>
      </c>
      <c r="B15" t="s">
        <v>8</v>
      </c>
      <c r="C15">
        <v>2015</v>
      </c>
      <c r="D15" t="s">
        <v>9</v>
      </c>
      <c r="E15">
        <v>2251.0923189999999</v>
      </c>
      <c r="F15">
        <v>364.21399459999998</v>
      </c>
      <c r="G15">
        <v>0.16179433900000001</v>
      </c>
      <c r="K15">
        <v>2015</v>
      </c>
      <c r="L15">
        <v>8</v>
      </c>
      <c r="M15">
        <v>37</v>
      </c>
      <c r="N15">
        <v>2251.0923189999999</v>
      </c>
      <c r="O15">
        <v>364.21399459999998</v>
      </c>
      <c r="P15" t="s">
        <v>13</v>
      </c>
      <c r="Q15" t="s">
        <v>14</v>
      </c>
    </row>
    <row r="16" spans="1:17" x14ac:dyDescent="0.25">
      <c r="A16" t="s">
        <v>7</v>
      </c>
      <c r="B16" t="s">
        <v>8</v>
      </c>
      <c r="C16">
        <v>2016</v>
      </c>
      <c r="D16" t="s">
        <v>9</v>
      </c>
      <c r="E16">
        <v>4045.9088700000002</v>
      </c>
      <c r="F16">
        <v>673.81125589999999</v>
      </c>
      <c r="G16">
        <v>0.16654138199999999</v>
      </c>
      <c r="K16">
        <v>2016</v>
      </c>
      <c r="L16">
        <v>8</v>
      </c>
      <c r="M16">
        <v>37</v>
      </c>
      <c r="N16">
        <v>4045.9088700000002</v>
      </c>
      <c r="O16">
        <v>673.81125589999999</v>
      </c>
      <c r="P16" t="s">
        <v>13</v>
      </c>
      <c r="Q16" t="s">
        <v>14</v>
      </c>
    </row>
    <row r="17" spans="1:17" x14ac:dyDescent="0.25">
      <c r="A17" t="s">
        <v>7</v>
      </c>
      <c r="B17" t="s">
        <v>8</v>
      </c>
      <c r="C17">
        <v>2017</v>
      </c>
      <c r="D17" t="s">
        <v>9</v>
      </c>
      <c r="E17">
        <v>3387.7002550000002</v>
      </c>
      <c r="F17">
        <v>525.47785039999997</v>
      </c>
      <c r="G17">
        <v>0.15511344299999999</v>
      </c>
      <c r="K17">
        <v>2017</v>
      </c>
      <c r="L17">
        <v>8</v>
      </c>
      <c r="M17">
        <v>37</v>
      </c>
      <c r="N17">
        <v>3387.7002550000002</v>
      </c>
      <c r="O17">
        <v>525.47785039999997</v>
      </c>
      <c r="P17" t="s">
        <v>13</v>
      </c>
      <c r="Q17" t="s">
        <v>14</v>
      </c>
    </row>
    <row r="18" spans="1:17" x14ac:dyDescent="0.25">
      <c r="A18" t="s">
        <v>7</v>
      </c>
      <c r="B18" t="s">
        <v>8</v>
      </c>
      <c r="C18">
        <v>2018</v>
      </c>
      <c r="D18" t="s">
        <v>9</v>
      </c>
      <c r="E18">
        <v>4703.986054</v>
      </c>
      <c r="F18">
        <v>771.30448799999999</v>
      </c>
      <c r="G18">
        <v>0.163968277</v>
      </c>
      <c r="K18">
        <v>2018</v>
      </c>
      <c r="L18">
        <v>8</v>
      </c>
      <c r="M18">
        <v>37</v>
      </c>
      <c r="N18">
        <v>4703.986054</v>
      </c>
      <c r="O18">
        <v>771.30448799999999</v>
      </c>
      <c r="P18" t="s">
        <v>13</v>
      </c>
      <c r="Q18" t="s">
        <v>14</v>
      </c>
    </row>
    <row r="19" spans="1:17" x14ac:dyDescent="0.25">
      <c r="A19" t="s">
        <v>7</v>
      </c>
      <c r="B19" t="s">
        <v>8</v>
      </c>
      <c r="C19">
        <v>2019</v>
      </c>
      <c r="D19" t="s">
        <v>9</v>
      </c>
      <c r="E19">
        <v>6102.0189200000004</v>
      </c>
      <c r="F19">
        <v>912.2221849</v>
      </c>
      <c r="G19">
        <v>0.149495142</v>
      </c>
      <c r="K19">
        <v>2019</v>
      </c>
      <c r="L19">
        <v>8</v>
      </c>
      <c r="M19">
        <v>37</v>
      </c>
      <c r="N19">
        <v>6102.0189200000004</v>
      </c>
      <c r="O19">
        <v>912.2221849</v>
      </c>
      <c r="P19" t="s">
        <v>13</v>
      </c>
      <c r="Q19" t="s">
        <v>14</v>
      </c>
    </row>
    <row r="20" spans="1:17" x14ac:dyDescent="0.25">
      <c r="A20" t="s">
        <v>7</v>
      </c>
      <c r="B20" t="s">
        <v>8</v>
      </c>
      <c r="C20">
        <v>2020</v>
      </c>
      <c r="D20" t="s">
        <v>9</v>
      </c>
      <c r="E20">
        <v>4175.6235450000004</v>
      </c>
      <c r="F20">
        <v>662.50306650000005</v>
      </c>
      <c r="G20">
        <v>0.158659673</v>
      </c>
      <c r="K20">
        <v>2020</v>
      </c>
      <c r="L20">
        <v>8</v>
      </c>
      <c r="M20">
        <v>37</v>
      </c>
      <c r="N20">
        <v>4175.6235450000004</v>
      </c>
      <c r="O20">
        <v>662.50306650000005</v>
      </c>
      <c r="P20" t="s">
        <v>13</v>
      </c>
      <c r="Q20" t="s">
        <v>14</v>
      </c>
    </row>
    <row r="21" spans="1:17" x14ac:dyDescent="0.25">
      <c r="A21" t="s">
        <v>7</v>
      </c>
      <c r="B21" t="s">
        <v>8</v>
      </c>
      <c r="C21">
        <v>2021</v>
      </c>
      <c r="D21" t="s">
        <v>9</v>
      </c>
      <c r="E21">
        <v>4254.5614969999997</v>
      </c>
      <c r="F21">
        <v>760.87314930000002</v>
      </c>
      <c r="G21">
        <v>0.17883703200000001</v>
      </c>
    </row>
    <row r="22" spans="1:17" x14ac:dyDescent="0.25">
      <c r="A22" t="s">
        <v>7</v>
      </c>
      <c r="B22" t="s">
        <v>8</v>
      </c>
      <c r="C22">
        <v>2022</v>
      </c>
      <c r="D22" t="s">
        <v>9</v>
      </c>
      <c r="E22">
        <v>6546.9063180000003</v>
      </c>
      <c r="F22">
        <v>1654.8796179999999</v>
      </c>
      <c r="G22">
        <v>0.25277276599999998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331D-90F0-45DB-946F-54B35C10058E}">
  <dimension ref="A1:N96"/>
  <sheetViews>
    <sheetView tabSelected="1" topLeftCell="A40" workbookViewId="0">
      <selection activeCell="S52" sqref="S52"/>
    </sheetView>
  </sheetViews>
  <sheetFormatPr defaultRowHeight="15" x14ac:dyDescent="0.25"/>
  <cols>
    <col min="8" max="8" width="15.5703125" customWidth="1"/>
  </cols>
  <sheetData>
    <row r="1" spans="1:14" x14ac:dyDescent="0.25">
      <c r="A1" t="s">
        <v>0</v>
      </c>
      <c r="B1" t="s">
        <v>15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10</v>
      </c>
    </row>
    <row r="2" spans="1:14" x14ac:dyDescent="0.25">
      <c r="A2" t="s">
        <v>16</v>
      </c>
      <c r="B2" t="s">
        <v>17</v>
      </c>
      <c r="C2">
        <v>2002</v>
      </c>
      <c r="D2" t="s">
        <v>18</v>
      </c>
      <c r="E2">
        <v>10967.44434</v>
      </c>
      <c r="F2">
        <v>1574.1681980000001</v>
      </c>
      <c r="G2">
        <v>0.14353099499999999</v>
      </c>
      <c r="J2">
        <v>2002</v>
      </c>
      <c r="K2">
        <v>8</v>
      </c>
      <c r="L2">
        <v>37</v>
      </c>
      <c r="M2">
        <v>10967.44434</v>
      </c>
      <c r="N2">
        <v>0.2</v>
      </c>
    </row>
    <row r="3" spans="1:14" x14ac:dyDescent="0.25">
      <c r="A3" t="s">
        <v>16</v>
      </c>
      <c r="B3" t="s">
        <v>17</v>
      </c>
      <c r="C3">
        <v>2003</v>
      </c>
      <c r="D3" t="s">
        <v>18</v>
      </c>
      <c r="E3">
        <v>7471.081972</v>
      </c>
      <c r="F3">
        <v>1340.3356389999999</v>
      </c>
      <c r="G3">
        <v>0.17940315000000001</v>
      </c>
      <c r="J3">
        <v>2003</v>
      </c>
      <c r="K3">
        <v>8</v>
      </c>
      <c r="L3">
        <v>37</v>
      </c>
      <c r="M3">
        <v>7471.081972</v>
      </c>
      <c r="N3">
        <v>0.2</v>
      </c>
    </row>
    <row r="4" spans="1:14" x14ac:dyDescent="0.25">
      <c r="A4" t="s">
        <v>16</v>
      </c>
      <c r="B4" t="s">
        <v>17</v>
      </c>
      <c r="C4">
        <v>2004</v>
      </c>
      <c r="D4" t="s">
        <v>18</v>
      </c>
      <c r="E4">
        <v>11105.694659999999</v>
      </c>
      <c r="F4">
        <v>1778.048947</v>
      </c>
      <c r="G4">
        <v>0.16010245200000001</v>
      </c>
      <c r="J4">
        <v>2004</v>
      </c>
      <c r="K4">
        <v>8</v>
      </c>
      <c r="L4">
        <v>37</v>
      </c>
      <c r="M4">
        <v>11105.694659999999</v>
      </c>
      <c r="N4">
        <v>0.2</v>
      </c>
    </row>
    <row r="5" spans="1:14" x14ac:dyDescent="0.25">
      <c r="A5" t="s">
        <v>16</v>
      </c>
      <c r="B5" t="s">
        <v>17</v>
      </c>
      <c r="C5">
        <v>2005</v>
      </c>
      <c r="D5" t="s">
        <v>18</v>
      </c>
      <c r="E5">
        <v>12403.553190000001</v>
      </c>
      <c r="F5">
        <v>2015.5674899999999</v>
      </c>
      <c r="G5">
        <v>0.16249920200000001</v>
      </c>
      <c r="J5">
        <v>2005</v>
      </c>
      <c r="K5">
        <v>8</v>
      </c>
      <c r="L5">
        <v>37</v>
      </c>
      <c r="M5">
        <v>12403.553190000001</v>
      </c>
      <c r="N5">
        <v>0.2</v>
      </c>
    </row>
    <row r="6" spans="1:14" x14ac:dyDescent="0.25">
      <c r="A6" t="s">
        <v>16</v>
      </c>
      <c r="B6" t="s">
        <v>17</v>
      </c>
      <c r="C6">
        <v>2006</v>
      </c>
      <c r="D6" t="s">
        <v>18</v>
      </c>
      <c r="E6">
        <v>13573.12781</v>
      </c>
      <c r="F6">
        <v>2149.5826080000002</v>
      </c>
      <c r="G6">
        <v>0.15837046799999999</v>
      </c>
      <c r="J6">
        <v>2006</v>
      </c>
      <c r="K6">
        <v>8</v>
      </c>
      <c r="L6">
        <v>37</v>
      </c>
      <c r="M6">
        <v>13573.12781</v>
      </c>
      <c r="N6">
        <v>0.2</v>
      </c>
    </row>
    <row r="7" spans="1:14" x14ac:dyDescent="0.25">
      <c r="A7" t="s">
        <v>16</v>
      </c>
      <c r="B7" t="s">
        <v>17</v>
      </c>
      <c r="C7">
        <v>2007</v>
      </c>
      <c r="D7" t="s">
        <v>18</v>
      </c>
      <c r="E7">
        <v>10472.774520000001</v>
      </c>
      <c r="F7">
        <v>1703.5431920000001</v>
      </c>
      <c r="G7">
        <v>0.16266398100000001</v>
      </c>
      <c r="J7">
        <v>2007</v>
      </c>
      <c r="K7">
        <v>8</v>
      </c>
      <c r="L7">
        <v>37</v>
      </c>
      <c r="M7">
        <v>10472.774520000001</v>
      </c>
      <c r="N7">
        <v>0.2</v>
      </c>
    </row>
    <row r="8" spans="1:14" x14ac:dyDescent="0.25">
      <c r="A8" t="s">
        <v>16</v>
      </c>
      <c r="B8" t="s">
        <v>17</v>
      </c>
      <c r="C8">
        <v>2008</v>
      </c>
      <c r="D8" t="s">
        <v>18</v>
      </c>
      <c r="E8">
        <v>9668.9007970000002</v>
      </c>
      <c r="F8">
        <v>1648.7422140000001</v>
      </c>
      <c r="G8">
        <v>0.17052012899999999</v>
      </c>
      <c r="J8">
        <v>2008</v>
      </c>
      <c r="K8">
        <v>8</v>
      </c>
      <c r="L8">
        <v>37</v>
      </c>
      <c r="M8">
        <v>9668.9007970000002</v>
      </c>
      <c r="N8">
        <v>0.2</v>
      </c>
    </row>
    <row r="9" spans="1:14" x14ac:dyDescent="0.25">
      <c r="A9" t="s">
        <v>16</v>
      </c>
      <c r="B9" t="s">
        <v>17</v>
      </c>
      <c r="C9">
        <v>2009</v>
      </c>
      <c r="D9" t="s">
        <v>18</v>
      </c>
      <c r="E9">
        <v>10889.158100000001</v>
      </c>
      <c r="F9">
        <v>1787.658347</v>
      </c>
      <c r="G9">
        <v>0.164168646</v>
      </c>
      <c r="J9">
        <v>2009</v>
      </c>
      <c r="K9">
        <v>8</v>
      </c>
      <c r="L9">
        <v>37</v>
      </c>
      <c r="M9">
        <v>10889.158100000001</v>
      </c>
      <c r="N9">
        <v>0.2</v>
      </c>
    </row>
    <row r="10" spans="1:14" x14ac:dyDescent="0.25">
      <c r="A10" t="s">
        <v>16</v>
      </c>
      <c r="B10" t="s">
        <v>17</v>
      </c>
      <c r="C10">
        <v>2010</v>
      </c>
      <c r="D10" t="s">
        <v>18</v>
      </c>
      <c r="E10">
        <v>13461.79803</v>
      </c>
      <c r="F10">
        <v>2233.8609630000001</v>
      </c>
      <c r="G10">
        <v>0.16594075799999999</v>
      </c>
      <c r="J10">
        <v>2010</v>
      </c>
      <c r="K10">
        <v>8</v>
      </c>
      <c r="L10">
        <v>37</v>
      </c>
      <c r="M10">
        <v>13461.79803</v>
      </c>
      <c r="N10">
        <v>0.2</v>
      </c>
    </row>
    <row r="11" spans="1:14" x14ac:dyDescent="0.25">
      <c r="A11" t="s">
        <v>16</v>
      </c>
      <c r="B11" t="s">
        <v>17</v>
      </c>
      <c r="C11">
        <v>2011</v>
      </c>
      <c r="D11" t="s">
        <v>18</v>
      </c>
      <c r="E11">
        <v>13273.636850000001</v>
      </c>
      <c r="F11">
        <v>2192.510608</v>
      </c>
      <c r="G11">
        <v>0.16517783599999999</v>
      </c>
      <c r="J11">
        <v>2011</v>
      </c>
      <c r="K11">
        <v>8</v>
      </c>
      <c r="L11">
        <v>37</v>
      </c>
      <c r="M11">
        <v>13273.636850000001</v>
      </c>
      <c r="N11">
        <v>0.2</v>
      </c>
    </row>
    <row r="12" spans="1:14" x14ac:dyDescent="0.25">
      <c r="A12" t="s">
        <v>16</v>
      </c>
      <c r="B12" t="s">
        <v>17</v>
      </c>
      <c r="C12">
        <v>2012</v>
      </c>
      <c r="D12" t="s">
        <v>18</v>
      </c>
      <c r="E12">
        <v>20263.496459999998</v>
      </c>
      <c r="F12">
        <v>3267.9990299999999</v>
      </c>
      <c r="G12">
        <v>0.16127517999999999</v>
      </c>
      <c r="J12">
        <v>2012</v>
      </c>
      <c r="K12">
        <v>8</v>
      </c>
      <c r="L12">
        <v>37</v>
      </c>
      <c r="M12">
        <v>20263.496459999998</v>
      </c>
      <c r="N12">
        <v>0.2</v>
      </c>
    </row>
    <row r="13" spans="1:14" x14ac:dyDescent="0.25">
      <c r="A13" t="s">
        <v>16</v>
      </c>
      <c r="B13" t="s">
        <v>17</v>
      </c>
      <c r="C13">
        <v>2013</v>
      </c>
      <c r="D13" t="s">
        <v>18</v>
      </c>
      <c r="E13">
        <v>11287.894759999999</v>
      </c>
      <c r="F13">
        <v>1818.194448</v>
      </c>
      <c r="G13">
        <v>0.16107471700000001</v>
      </c>
      <c r="J13">
        <v>2013</v>
      </c>
      <c r="K13">
        <v>8</v>
      </c>
      <c r="L13">
        <v>37</v>
      </c>
      <c r="M13">
        <v>11287.894759999999</v>
      </c>
      <c r="N13">
        <v>0.2</v>
      </c>
    </row>
    <row r="14" spans="1:14" x14ac:dyDescent="0.25">
      <c r="A14" t="s">
        <v>16</v>
      </c>
      <c r="B14" t="s">
        <v>17</v>
      </c>
      <c r="C14">
        <v>2014</v>
      </c>
      <c r="D14" t="s">
        <v>18</v>
      </c>
      <c r="E14">
        <v>14336.209269999999</v>
      </c>
      <c r="F14">
        <v>2495.8232659999999</v>
      </c>
      <c r="G14">
        <v>0.17409227299999999</v>
      </c>
      <c r="J14">
        <v>2014</v>
      </c>
      <c r="K14">
        <v>8</v>
      </c>
      <c r="L14">
        <v>37</v>
      </c>
      <c r="M14">
        <v>14336.209269999999</v>
      </c>
      <c r="N14">
        <v>0.2</v>
      </c>
    </row>
    <row r="15" spans="1:14" x14ac:dyDescent="0.25">
      <c r="A15" t="s">
        <v>16</v>
      </c>
      <c r="B15" t="s">
        <v>17</v>
      </c>
      <c r="C15">
        <v>2015</v>
      </c>
      <c r="D15" t="s">
        <v>18</v>
      </c>
      <c r="E15">
        <v>17601.297470000001</v>
      </c>
      <c r="F15">
        <v>2788.0865220000001</v>
      </c>
      <c r="G15">
        <v>0.15840233000000001</v>
      </c>
      <c r="J15">
        <v>2015</v>
      </c>
      <c r="K15">
        <v>8</v>
      </c>
      <c r="L15">
        <v>37</v>
      </c>
      <c r="M15">
        <v>17601.297470000001</v>
      </c>
      <c r="N15">
        <v>0.2</v>
      </c>
    </row>
    <row r="16" spans="1:14" x14ac:dyDescent="0.25">
      <c r="A16" t="s">
        <v>16</v>
      </c>
      <c r="B16" t="s">
        <v>17</v>
      </c>
      <c r="C16">
        <v>2016</v>
      </c>
      <c r="D16" t="s">
        <v>18</v>
      </c>
      <c r="E16">
        <v>25413.245200000001</v>
      </c>
      <c r="F16">
        <v>4463.1721790000001</v>
      </c>
      <c r="G16">
        <v>0.17562385799999999</v>
      </c>
      <c r="J16">
        <v>2016</v>
      </c>
      <c r="K16">
        <v>8</v>
      </c>
      <c r="L16">
        <v>37</v>
      </c>
      <c r="M16">
        <v>25413.245200000001</v>
      </c>
      <c r="N16">
        <v>0.2</v>
      </c>
    </row>
    <row r="17" spans="1:14" x14ac:dyDescent="0.25">
      <c r="A17" t="s">
        <v>16</v>
      </c>
      <c r="B17" t="s">
        <v>17</v>
      </c>
      <c r="C17">
        <v>2017</v>
      </c>
      <c r="D17" t="s">
        <v>18</v>
      </c>
      <c r="E17">
        <v>21785.087459999999</v>
      </c>
      <c r="F17">
        <v>3522.2404409999999</v>
      </c>
      <c r="G17">
        <v>0.16168126199999999</v>
      </c>
      <c r="J17">
        <v>2017</v>
      </c>
      <c r="K17">
        <v>8</v>
      </c>
      <c r="L17">
        <v>37</v>
      </c>
      <c r="M17">
        <v>21785.087459999999</v>
      </c>
      <c r="N17">
        <v>0.2</v>
      </c>
    </row>
    <row r="18" spans="1:14" x14ac:dyDescent="0.25">
      <c r="A18" t="s">
        <v>16</v>
      </c>
      <c r="B18" t="s">
        <v>17</v>
      </c>
      <c r="C18">
        <v>2018</v>
      </c>
      <c r="D18" t="s">
        <v>18</v>
      </c>
      <c r="E18">
        <v>21274.515340000002</v>
      </c>
      <c r="F18">
        <v>3281.7868079999998</v>
      </c>
      <c r="G18">
        <v>0.154259063</v>
      </c>
      <c r="J18">
        <v>2018</v>
      </c>
      <c r="K18">
        <v>8</v>
      </c>
      <c r="L18">
        <v>37</v>
      </c>
      <c r="M18">
        <v>21274.515340000002</v>
      </c>
      <c r="N18">
        <v>0.2</v>
      </c>
    </row>
    <row r="19" spans="1:14" x14ac:dyDescent="0.25">
      <c r="A19" t="s">
        <v>16</v>
      </c>
      <c r="B19" t="s">
        <v>17</v>
      </c>
      <c r="C19">
        <v>2019</v>
      </c>
      <c r="D19" t="s">
        <v>18</v>
      </c>
      <c r="E19">
        <v>23572.32921</v>
      </c>
      <c r="F19">
        <v>3746.389819</v>
      </c>
      <c r="G19">
        <v>0.15893167699999999</v>
      </c>
      <c r="J19">
        <v>2019</v>
      </c>
      <c r="K19">
        <v>8</v>
      </c>
      <c r="L19">
        <v>37</v>
      </c>
      <c r="M19">
        <v>23572.32921</v>
      </c>
      <c r="N19">
        <v>0.2</v>
      </c>
    </row>
    <row r="20" spans="1:14" x14ac:dyDescent="0.25">
      <c r="A20" t="s">
        <v>16</v>
      </c>
      <c r="B20" t="s">
        <v>17</v>
      </c>
      <c r="C20">
        <v>2020</v>
      </c>
      <c r="D20" t="s">
        <v>18</v>
      </c>
      <c r="E20">
        <v>22344.597699999998</v>
      </c>
      <c r="F20">
        <v>3647.854429</v>
      </c>
      <c r="G20">
        <v>0.16325442400000001</v>
      </c>
      <c r="J20">
        <v>2020</v>
      </c>
      <c r="K20">
        <v>8</v>
      </c>
      <c r="L20">
        <v>37</v>
      </c>
      <c r="M20">
        <v>22344.597699999998</v>
      </c>
      <c r="N20">
        <v>0.2</v>
      </c>
    </row>
    <row r="21" spans="1:14" x14ac:dyDescent="0.25">
      <c r="A21" t="s">
        <v>16</v>
      </c>
      <c r="B21" t="s">
        <v>17</v>
      </c>
      <c r="C21">
        <v>2021</v>
      </c>
      <c r="D21" t="s">
        <v>18</v>
      </c>
      <c r="E21">
        <v>27340.414479999999</v>
      </c>
      <c r="F21">
        <v>4449.0874210000002</v>
      </c>
      <c r="G21">
        <v>0.162729333</v>
      </c>
    </row>
    <row r="22" spans="1:14" x14ac:dyDescent="0.25">
      <c r="A22" t="s">
        <v>16</v>
      </c>
      <c r="B22" t="s">
        <v>17</v>
      </c>
      <c r="C22">
        <v>2022</v>
      </c>
      <c r="D22" t="s">
        <v>18</v>
      </c>
      <c r="E22">
        <v>31439.665239999998</v>
      </c>
      <c r="F22">
        <v>4812.6792729999997</v>
      </c>
      <c r="G22">
        <v>0.15307667</v>
      </c>
    </row>
    <row r="23" spans="1:14" x14ac:dyDescent="0.25">
      <c r="A23" t="s">
        <v>16</v>
      </c>
      <c r="B23" t="s">
        <v>19</v>
      </c>
      <c r="C23">
        <v>2002</v>
      </c>
      <c r="D23" t="s">
        <v>18</v>
      </c>
      <c r="E23">
        <v>5483.1520010000004</v>
      </c>
      <c r="F23">
        <v>1075.2572700000001</v>
      </c>
      <c r="G23">
        <v>0.19610203600000001</v>
      </c>
    </row>
    <row r="24" spans="1:14" x14ac:dyDescent="0.25">
      <c r="A24" t="s">
        <v>16</v>
      </c>
      <c r="B24" t="s">
        <v>19</v>
      </c>
      <c r="C24">
        <v>2003</v>
      </c>
      <c r="D24" t="s">
        <v>18</v>
      </c>
      <c r="E24">
        <v>3089.8424580000001</v>
      </c>
      <c r="F24">
        <v>723.57259180000005</v>
      </c>
      <c r="G24">
        <v>0.23417782700000001</v>
      </c>
    </row>
    <row r="25" spans="1:14" x14ac:dyDescent="0.25">
      <c r="A25" t="s">
        <v>16</v>
      </c>
      <c r="B25" t="s">
        <v>19</v>
      </c>
      <c r="C25">
        <v>2004</v>
      </c>
      <c r="D25" t="s">
        <v>18</v>
      </c>
      <c r="E25">
        <v>4334.6916019999999</v>
      </c>
      <c r="F25">
        <v>1021.65638</v>
      </c>
      <c r="G25">
        <v>0.23569298</v>
      </c>
    </row>
    <row r="26" spans="1:14" x14ac:dyDescent="0.25">
      <c r="A26" t="s">
        <v>16</v>
      </c>
      <c r="B26" t="s">
        <v>19</v>
      </c>
      <c r="C26">
        <v>2005</v>
      </c>
      <c r="D26" t="s">
        <v>18</v>
      </c>
      <c r="E26">
        <v>4664.0563529999999</v>
      </c>
      <c r="F26">
        <v>1253.79636</v>
      </c>
      <c r="G26">
        <v>0.26882101400000002</v>
      </c>
    </row>
    <row r="27" spans="1:14" x14ac:dyDescent="0.25">
      <c r="A27" t="s">
        <v>16</v>
      </c>
      <c r="B27" t="s">
        <v>19</v>
      </c>
      <c r="C27">
        <v>2006</v>
      </c>
      <c r="D27" t="s">
        <v>18</v>
      </c>
      <c r="E27">
        <v>4841.4998900000001</v>
      </c>
      <c r="F27">
        <v>1329.2720549999999</v>
      </c>
      <c r="G27">
        <v>0.27455790200000002</v>
      </c>
    </row>
    <row r="28" spans="1:14" x14ac:dyDescent="0.25">
      <c r="A28" t="s">
        <v>16</v>
      </c>
      <c r="B28" t="s">
        <v>19</v>
      </c>
      <c r="C28">
        <v>2007</v>
      </c>
      <c r="D28" t="s">
        <v>18</v>
      </c>
      <c r="E28">
        <v>3438.421104</v>
      </c>
      <c r="F28">
        <v>894.49633559999995</v>
      </c>
      <c r="G28">
        <v>0.260147407</v>
      </c>
    </row>
    <row r="29" spans="1:14" x14ac:dyDescent="0.25">
      <c r="A29" t="s">
        <v>16</v>
      </c>
      <c r="B29" t="s">
        <v>19</v>
      </c>
      <c r="C29">
        <v>2008</v>
      </c>
      <c r="D29" t="s">
        <v>18</v>
      </c>
      <c r="E29">
        <v>3109.4059430000002</v>
      </c>
      <c r="F29">
        <v>802.04973519999999</v>
      </c>
      <c r="G29">
        <v>0.25794307700000002</v>
      </c>
    </row>
    <row r="30" spans="1:14" x14ac:dyDescent="0.25">
      <c r="A30" t="s">
        <v>16</v>
      </c>
      <c r="B30" t="s">
        <v>19</v>
      </c>
      <c r="C30">
        <v>2009</v>
      </c>
      <c r="D30" t="s">
        <v>18</v>
      </c>
      <c r="E30">
        <v>3763.4604100000001</v>
      </c>
      <c r="F30">
        <v>944.51657490000002</v>
      </c>
      <c r="G30">
        <v>0.25097024299999998</v>
      </c>
    </row>
    <row r="31" spans="1:14" x14ac:dyDescent="0.25">
      <c r="A31" t="s">
        <v>16</v>
      </c>
      <c r="B31" t="s">
        <v>19</v>
      </c>
      <c r="C31">
        <v>2010</v>
      </c>
      <c r="D31" t="s">
        <v>18</v>
      </c>
      <c r="E31">
        <v>5159.9466089999996</v>
      </c>
      <c r="F31">
        <v>1280.403928</v>
      </c>
      <c r="G31">
        <v>0.24814286399999999</v>
      </c>
    </row>
    <row r="32" spans="1:14" x14ac:dyDescent="0.25">
      <c r="A32" t="s">
        <v>16</v>
      </c>
      <c r="B32" t="s">
        <v>19</v>
      </c>
      <c r="C32">
        <v>2011</v>
      </c>
      <c r="D32" t="s">
        <v>18</v>
      </c>
      <c r="E32">
        <v>5141.9261530000003</v>
      </c>
      <c r="F32">
        <v>1258.474064</v>
      </c>
      <c r="G32">
        <v>0.24474759600000001</v>
      </c>
    </row>
    <row r="33" spans="1:7" x14ac:dyDescent="0.25">
      <c r="A33" t="s">
        <v>16</v>
      </c>
      <c r="B33" t="s">
        <v>19</v>
      </c>
      <c r="C33">
        <v>2012</v>
      </c>
      <c r="D33" t="s">
        <v>18</v>
      </c>
      <c r="E33">
        <v>7350.4414120000001</v>
      </c>
      <c r="F33">
        <v>1836.2690130000001</v>
      </c>
      <c r="G33">
        <v>0.24981751599999999</v>
      </c>
    </row>
    <row r="34" spans="1:7" x14ac:dyDescent="0.25">
      <c r="A34" t="s">
        <v>16</v>
      </c>
      <c r="B34" t="s">
        <v>19</v>
      </c>
      <c r="C34">
        <v>2013</v>
      </c>
      <c r="D34" t="s">
        <v>18</v>
      </c>
      <c r="E34">
        <v>3421.637772</v>
      </c>
      <c r="F34">
        <v>908.12602770000001</v>
      </c>
      <c r="G34">
        <v>0.26540682799999998</v>
      </c>
    </row>
    <row r="35" spans="1:7" x14ac:dyDescent="0.25">
      <c r="A35" t="s">
        <v>16</v>
      </c>
      <c r="B35" t="s">
        <v>19</v>
      </c>
      <c r="C35">
        <v>2014</v>
      </c>
      <c r="D35" t="s">
        <v>18</v>
      </c>
      <c r="E35">
        <v>4759.7283289999996</v>
      </c>
      <c r="F35">
        <v>1227.9201740000001</v>
      </c>
      <c r="G35">
        <v>0.25798114700000002</v>
      </c>
    </row>
    <row r="36" spans="1:7" x14ac:dyDescent="0.25">
      <c r="A36" t="s">
        <v>16</v>
      </c>
      <c r="B36" t="s">
        <v>19</v>
      </c>
      <c r="C36">
        <v>2015</v>
      </c>
      <c r="D36" t="s">
        <v>18</v>
      </c>
      <c r="E36">
        <v>5942.951693</v>
      </c>
      <c r="F36">
        <v>1452.5555629999999</v>
      </c>
      <c r="G36">
        <v>0.244416519</v>
      </c>
    </row>
    <row r="37" spans="1:7" x14ac:dyDescent="0.25">
      <c r="A37" t="s">
        <v>16</v>
      </c>
      <c r="B37" t="s">
        <v>19</v>
      </c>
      <c r="C37">
        <v>2016</v>
      </c>
      <c r="D37" t="s">
        <v>18</v>
      </c>
      <c r="E37">
        <v>8319.0434120000009</v>
      </c>
      <c r="F37">
        <v>2109.003866</v>
      </c>
      <c r="G37">
        <v>0.25351518899999997</v>
      </c>
    </row>
    <row r="38" spans="1:7" x14ac:dyDescent="0.25">
      <c r="A38" t="s">
        <v>16</v>
      </c>
      <c r="B38" t="s">
        <v>19</v>
      </c>
      <c r="C38">
        <v>2017</v>
      </c>
      <c r="D38" t="s">
        <v>18</v>
      </c>
      <c r="E38">
        <v>8283.0495310000006</v>
      </c>
      <c r="F38">
        <v>1932.6791490000001</v>
      </c>
      <c r="G38">
        <v>0.23332942100000001</v>
      </c>
    </row>
    <row r="39" spans="1:7" x14ac:dyDescent="0.25">
      <c r="A39" t="s">
        <v>16</v>
      </c>
      <c r="B39" t="s">
        <v>19</v>
      </c>
      <c r="C39">
        <v>2018</v>
      </c>
      <c r="D39" t="s">
        <v>18</v>
      </c>
      <c r="E39">
        <v>8140.0442169999997</v>
      </c>
      <c r="F39">
        <v>1869.5084959999999</v>
      </c>
      <c r="G39">
        <v>0.22966810100000001</v>
      </c>
    </row>
    <row r="40" spans="1:7" x14ac:dyDescent="0.25">
      <c r="A40" t="s">
        <v>16</v>
      </c>
      <c r="B40" t="s">
        <v>19</v>
      </c>
      <c r="C40">
        <v>2019</v>
      </c>
      <c r="D40" t="s">
        <v>18</v>
      </c>
      <c r="E40">
        <v>10646.64178</v>
      </c>
      <c r="F40">
        <v>2324.608577</v>
      </c>
      <c r="G40">
        <v>0.218341955</v>
      </c>
    </row>
    <row r="41" spans="1:7" x14ac:dyDescent="0.25">
      <c r="A41" t="s">
        <v>16</v>
      </c>
      <c r="B41" t="s">
        <v>19</v>
      </c>
      <c r="C41">
        <v>2020</v>
      </c>
      <c r="D41" t="s">
        <v>18</v>
      </c>
      <c r="E41">
        <v>9976.623861</v>
      </c>
      <c r="F41">
        <v>2209.3535809999998</v>
      </c>
      <c r="G41">
        <v>0.22145303</v>
      </c>
    </row>
    <row r="42" spans="1:7" x14ac:dyDescent="0.25">
      <c r="A42" t="s">
        <v>16</v>
      </c>
      <c r="B42" t="s">
        <v>19</v>
      </c>
      <c r="C42">
        <v>2021</v>
      </c>
      <c r="D42" t="s">
        <v>18</v>
      </c>
      <c r="E42">
        <v>11657.569159999999</v>
      </c>
      <c r="F42">
        <v>2717.4195589999999</v>
      </c>
      <c r="G42">
        <v>0.23310344699999999</v>
      </c>
    </row>
    <row r="43" spans="1:7" x14ac:dyDescent="0.25">
      <c r="A43" t="s">
        <v>16</v>
      </c>
      <c r="B43" t="s">
        <v>19</v>
      </c>
      <c r="C43">
        <v>2022</v>
      </c>
      <c r="D43" t="s">
        <v>18</v>
      </c>
      <c r="E43">
        <v>14452.40979</v>
      </c>
      <c r="F43">
        <v>3066.546276</v>
      </c>
      <c r="G43">
        <v>0.21218234999999999</v>
      </c>
    </row>
    <row r="44" spans="1:7" x14ac:dyDescent="0.25">
      <c r="A44" t="s">
        <v>16</v>
      </c>
      <c r="B44" t="s">
        <v>8</v>
      </c>
      <c r="C44">
        <v>2002</v>
      </c>
      <c r="D44" t="s">
        <v>18</v>
      </c>
      <c r="E44">
        <v>5484.2923350000001</v>
      </c>
      <c r="F44">
        <v>799.50169579999999</v>
      </c>
      <c r="G44">
        <v>0.14578028400000001</v>
      </c>
    </row>
    <row r="45" spans="1:7" x14ac:dyDescent="0.25">
      <c r="A45" t="s">
        <v>16</v>
      </c>
      <c r="B45" t="s">
        <v>8</v>
      </c>
      <c r="C45">
        <v>2003</v>
      </c>
      <c r="D45" t="s">
        <v>18</v>
      </c>
      <c r="E45">
        <v>4381.2395130000004</v>
      </c>
      <c r="F45">
        <v>837.03988660000005</v>
      </c>
      <c r="G45">
        <v>0.19105093100000001</v>
      </c>
    </row>
    <row r="46" spans="1:7" x14ac:dyDescent="0.25">
      <c r="A46" t="s">
        <v>16</v>
      </c>
      <c r="B46" t="s">
        <v>8</v>
      </c>
      <c r="C46">
        <v>2004</v>
      </c>
      <c r="D46" t="s">
        <v>18</v>
      </c>
      <c r="E46">
        <v>6771.0030569999999</v>
      </c>
      <c r="F46">
        <v>1137.285901</v>
      </c>
      <c r="G46">
        <v>0.167964169</v>
      </c>
    </row>
    <row r="47" spans="1:7" x14ac:dyDescent="0.25">
      <c r="A47" t="s">
        <v>16</v>
      </c>
      <c r="B47" t="s">
        <v>8</v>
      </c>
      <c r="C47">
        <v>2005</v>
      </c>
      <c r="D47" t="s">
        <v>18</v>
      </c>
      <c r="E47">
        <v>7739.4968369999997</v>
      </c>
      <c r="F47">
        <v>1218.3830350000001</v>
      </c>
      <c r="G47">
        <v>0.157424063</v>
      </c>
    </row>
    <row r="48" spans="1:7" x14ac:dyDescent="0.25">
      <c r="A48" t="s">
        <v>16</v>
      </c>
      <c r="B48" t="s">
        <v>8</v>
      </c>
      <c r="C48">
        <v>2006</v>
      </c>
      <c r="D48" t="s">
        <v>18</v>
      </c>
      <c r="E48">
        <v>8731.6279200000008</v>
      </c>
      <c r="F48">
        <v>1273.8501200000001</v>
      </c>
      <c r="G48">
        <v>0.145889189</v>
      </c>
    </row>
    <row r="49" spans="1:7" x14ac:dyDescent="0.25">
      <c r="A49" t="s">
        <v>16</v>
      </c>
      <c r="B49" t="s">
        <v>8</v>
      </c>
      <c r="C49">
        <v>2007</v>
      </c>
      <c r="D49" t="s">
        <v>18</v>
      </c>
      <c r="E49">
        <v>7034.3534149999996</v>
      </c>
      <c r="F49">
        <v>1113.7515410000001</v>
      </c>
      <c r="G49">
        <v>0.15833033599999999</v>
      </c>
    </row>
    <row r="50" spans="1:7" x14ac:dyDescent="0.25">
      <c r="A50" t="s">
        <v>16</v>
      </c>
      <c r="B50" t="s">
        <v>8</v>
      </c>
      <c r="C50">
        <v>2008</v>
      </c>
      <c r="D50" t="s">
        <v>18</v>
      </c>
      <c r="E50">
        <v>6559.4948539999996</v>
      </c>
      <c r="F50">
        <v>1141.9825189999999</v>
      </c>
      <c r="G50">
        <v>0.174096107</v>
      </c>
    </row>
    <row r="51" spans="1:7" x14ac:dyDescent="0.25">
      <c r="A51" t="s">
        <v>16</v>
      </c>
      <c r="B51" t="s">
        <v>8</v>
      </c>
      <c r="C51">
        <v>2009</v>
      </c>
      <c r="D51" t="s">
        <v>18</v>
      </c>
      <c r="E51">
        <v>7125.6976910000003</v>
      </c>
      <c r="F51">
        <v>1173.618093</v>
      </c>
      <c r="G51">
        <v>0.16470220099999999</v>
      </c>
    </row>
    <row r="52" spans="1:7" x14ac:dyDescent="0.25">
      <c r="A52" t="s">
        <v>16</v>
      </c>
      <c r="B52" t="s">
        <v>8</v>
      </c>
      <c r="C52">
        <v>2010</v>
      </c>
      <c r="D52" t="s">
        <v>18</v>
      </c>
      <c r="E52">
        <v>8301.8514180000002</v>
      </c>
      <c r="F52">
        <v>1347.4232079999999</v>
      </c>
      <c r="G52">
        <v>0.16230394200000001</v>
      </c>
    </row>
    <row r="53" spans="1:7" x14ac:dyDescent="0.25">
      <c r="A53" t="s">
        <v>16</v>
      </c>
      <c r="B53" t="s">
        <v>8</v>
      </c>
      <c r="C53">
        <v>2011</v>
      </c>
      <c r="D53" t="s">
        <v>18</v>
      </c>
      <c r="E53">
        <v>8131.7106940000003</v>
      </c>
      <c r="F53">
        <v>1328.6763550000001</v>
      </c>
      <c r="G53">
        <v>0.163394445</v>
      </c>
    </row>
    <row r="54" spans="1:7" x14ac:dyDescent="0.25">
      <c r="A54" t="s">
        <v>16</v>
      </c>
      <c r="B54" t="s">
        <v>8</v>
      </c>
      <c r="C54">
        <v>2012</v>
      </c>
      <c r="D54" t="s">
        <v>18</v>
      </c>
      <c r="E54">
        <v>12913.055050000001</v>
      </c>
      <c r="F54">
        <v>2037.752021</v>
      </c>
      <c r="G54">
        <v>0.15780557100000001</v>
      </c>
    </row>
    <row r="55" spans="1:7" x14ac:dyDescent="0.25">
      <c r="A55" t="s">
        <v>16</v>
      </c>
      <c r="B55" t="s">
        <v>8</v>
      </c>
      <c r="C55">
        <v>2013</v>
      </c>
      <c r="D55" t="s">
        <v>18</v>
      </c>
      <c r="E55">
        <v>7866.2569869999998</v>
      </c>
      <c r="F55">
        <v>1247.157031</v>
      </c>
      <c r="G55">
        <v>0.15854516699999999</v>
      </c>
    </row>
    <row r="56" spans="1:7" x14ac:dyDescent="0.25">
      <c r="A56" t="s">
        <v>16</v>
      </c>
      <c r="B56" t="s">
        <v>8</v>
      </c>
      <c r="C56">
        <v>2014</v>
      </c>
      <c r="D56" t="s">
        <v>18</v>
      </c>
      <c r="E56">
        <v>9576.4809459999997</v>
      </c>
      <c r="F56">
        <v>1717.9924229999999</v>
      </c>
      <c r="G56">
        <v>0.179397049</v>
      </c>
    </row>
    <row r="57" spans="1:7" x14ac:dyDescent="0.25">
      <c r="A57" t="s">
        <v>16</v>
      </c>
      <c r="B57" t="s">
        <v>8</v>
      </c>
      <c r="C57">
        <v>2015</v>
      </c>
      <c r="D57" t="s">
        <v>18</v>
      </c>
      <c r="E57">
        <v>11658.34578</v>
      </c>
      <c r="F57">
        <v>1853.71487</v>
      </c>
      <c r="G57">
        <v>0.15900325000000001</v>
      </c>
    </row>
    <row r="58" spans="1:7" x14ac:dyDescent="0.25">
      <c r="A58" t="s">
        <v>16</v>
      </c>
      <c r="B58" t="s">
        <v>8</v>
      </c>
      <c r="C58">
        <v>2016</v>
      </c>
      <c r="D58" t="s">
        <v>18</v>
      </c>
      <c r="E58">
        <v>17094.201789999999</v>
      </c>
      <c r="F58">
        <v>3059.0838699999999</v>
      </c>
      <c r="G58">
        <v>0.178954473</v>
      </c>
    </row>
    <row r="59" spans="1:7" x14ac:dyDescent="0.25">
      <c r="A59" t="s">
        <v>16</v>
      </c>
      <c r="B59" t="s">
        <v>8</v>
      </c>
      <c r="C59">
        <v>2017</v>
      </c>
      <c r="D59" t="s">
        <v>18</v>
      </c>
      <c r="E59">
        <v>13502.03793</v>
      </c>
      <c r="F59">
        <v>2197.8275330000001</v>
      </c>
      <c r="G59">
        <v>0.16277746700000001</v>
      </c>
    </row>
    <row r="60" spans="1:7" x14ac:dyDescent="0.25">
      <c r="A60" t="s">
        <v>16</v>
      </c>
      <c r="B60" t="s">
        <v>8</v>
      </c>
      <c r="C60">
        <v>2018</v>
      </c>
      <c r="D60" t="s">
        <v>18</v>
      </c>
      <c r="E60">
        <v>13134.47112</v>
      </c>
      <c r="F60">
        <v>1991.7544789999999</v>
      </c>
      <c r="G60">
        <v>0.15164329500000001</v>
      </c>
    </row>
    <row r="61" spans="1:7" x14ac:dyDescent="0.25">
      <c r="A61" t="s">
        <v>16</v>
      </c>
      <c r="B61" t="s">
        <v>8</v>
      </c>
      <c r="C61">
        <v>2019</v>
      </c>
      <c r="D61" t="s">
        <v>18</v>
      </c>
      <c r="E61">
        <v>12925.68743</v>
      </c>
      <c r="F61">
        <v>2066.9433960000001</v>
      </c>
      <c r="G61">
        <v>0.15990974599999999</v>
      </c>
    </row>
    <row r="62" spans="1:7" x14ac:dyDescent="0.25">
      <c r="A62" t="s">
        <v>16</v>
      </c>
      <c r="B62" t="s">
        <v>8</v>
      </c>
      <c r="C62">
        <v>2020</v>
      </c>
      <c r="D62" t="s">
        <v>18</v>
      </c>
      <c r="E62">
        <v>12367.973840000001</v>
      </c>
      <c r="F62">
        <v>2061.5091870000001</v>
      </c>
      <c r="G62">
        <v>0.16668123800000001</v>
      </c>
    </row>
    <row r="63" spans="1:7" x14ac:dyDescent="0.25">
      <c r="A63" t="s">
        <v>16</v>
      </c>
      <c r="B63" t="s">
        <v>8</v>
      </c>
      <c r="C63">
        <v>2021</v>
      </c>
      <c r="D63" t="s">
        <v>18</v>
      </c>
      <c r="E63">
        <v>15682.84532</v>
      </c>
      <c r="F63">
        <v>2477.4083620000001</v>
      </c>
      <c r="G63">
        <v>0.157969317</v>
      </c>
    </row>
    <row r="64" spans="1:7" x14ac:dyDescent="0.25">
      <c r="A64" t="s">
        <v>16</v>
      </c>
      <c r="B64" t="s">
        <v>8</v>
      </c>
      <c r="C64">
        <v>2022</v>
      </c>
      <c r="D64" t="s">
        <v>18</v>
      </c>
      <c r="E64">
        <v>16987.255450000001</v>
      </c>
      <c r="F64">
        <v>2674.1005879999998</v>
      </c>
      <c r="G64">
        <v>0.157418048</v>
      </c>
    </row>
    <row r="73" spans="2:8" x14ac:dyDescent="0.25">
      <c r="B73" t="s">
        <v>20</v>
      </c>
      <c r="D73" t="s">
        <v>24</v>
      </c>
      <c r="F73" t="s">
        <v>21</v>
      </c>
      <c r="H73" t="s">
        <v>24</v>
      </c>
    </row>
    <row r="74" spans="2:8" x14ac:dyDescent="0.25">
      <c r="B74">
        <v>3975.8288950000001</v>
      </c>
      <c r="C74">
        <v>743.6964352</v>
      </c>
      <c r="D74">
        <f>(B74-$B$95)/$B$96</f>
        <v>0.70381875108616299</v>
      </c>
      <c r="F74">
        <v>10967.44434</v>
      </c>
      <c r="G74">
        <v>1574.1681980000001</v>
      </c>
      <c r="H74" s="2">
        <f>(F74-$F$95)/$F$96</f>
        <v>-0.84807211413472028</v>
      </c>
    </row>
    <row r="75" spans="2:8" x14ac:dyDescent="0.25">
      <c r="B75">
        <v>1385.6845969999999</v>
      </c>
      <c r="C75">
        <v>351.35007460000003</v>
      </c>
      <c r="D75">
        <f t="shared" ref="D75:D94" si="0">(B75-$B$95)/$B$96</f>
        <v>-0.73569593225267405</v>
      </c>
      <c r="F75">
        <v>7471.081972</v>
      </c>
      <c r="G75">
        <v>1340.3356389999999</v>
      </c>
      <c r="H75" s="2">
        <f t="shared" ref="H75:H96" si="1">(F75-$F$95)/$F$96</f>
        <v>-1.3685830933554064</v>
      </c>
    </row>
    <row r="76" spans="2:8" x14ac:dyDescent="0.25">
      <c r="B76">
        <v>622.15180610000004</v>
      </c>
      <c r="C76">
        <v>225.05758130000001</v>
      </c>
      <c r="D76">
        <f t="shared" si="0"/>
        <v>-1.1600416586895845</v>
      </c>
      <c r="F76">
        <v>11105.694659999999</v>
      </c>
      <c r="G76">
        <v>1778.048947</v>
      </c>
      <c r="H76" s="2">
        <f t="shared" si="1"/>
        <v>-0.82749049190374546</v>
      </c>
    </row>
    <row r="77" spans="2:8" x14ac:dyDescent="0.25">
      <c r="B77">
        <v>1003.909283</v>
      </c>
      <c r="C77">
        <v>291.61367200000001</v>
      </c>
      <c r="D77">
        <f t="shared" si="0"/>
        <v>-0.94787375209987346</v>
      </c>
      <c r="F77">
        <v>12403.553190000001</v>
      </c>
      <c r="G77">
        <v>2015.5674899999999</v>
      </c>
      <c r="H77" s="2">
        <f t="shared" si="1"/>
        <v>-0.63427550351378315</v>
      </c>
    </row>
    <row r="78" spans="2:8" x14ac:dyDescent="0.25">
      <c r="B78">
        <v>1013.6530289999999</v>
      </c>
      <c r="C78">
        <v>377.58904269999999</v>
      </c>
      <c r="D78">
        <f t="shared" si="0"/>
        <v>-0.94245850730113601</v>
      </c>
      <c r="F78">
        <v>13573.12781</v>
      </c>
      <c r="G78">
        <v>2149.5826080000002</v>
      </c>
      <c r="H78" s="2">
        <f t="shared" si="1"/>
        <v>-0.4601584164808119</v>
      </c>
    </row>
    <row r="79" spans="2:8" x14ac:dyDescent="0.25">
      <c r="B79">
        <v>1240.7041039999999</v>
      </c>
      <c r="C79">
        <v>393.5841466</v>
      </c>
      <c r="D79">
        <f t="shared" si="0"/>
        <v>-0.81627119156635553</v>
      </c>
      <c r="F79">
        <v>10472.774520000001</v>
      </c>
      <c r="G79">
        <v>1703.5431920000001</v>
      </c>
      <c r="H79" s="2">
        <f t="shared" si="1"/>
        <v>-0.92171467325721912</v>
      </c>
    </row>
    <row r="80" spans="2:8" x14ac:dyDescent="0.25">
      <c r="B80">
        <v>1242.4527169999999</v>
      </c>
      <c r="C80">
        <v>345.25079779999999</v>
      </c>
      <c r="D80">
        <f t="shared" si="0"/>
        <v>-0.81529937154423515</v>
      </c>
      <c r="F80">
        <v>9668.9007970000002</v>
      </c>
      <c r="G80">
        <v>1648.7422140000001</v>
      </c>
      <c r="H80" s="2">
        <f t="shared" si="1"/>
        <v>-1.0413890818820488</v>
      </c>
    </row>
    <row r="81" spans="1:8" x14ac:dyDescent="0.25">
      <c r="B81">
        <v>1756.1680650000001</v>
      </c>
      <c r="C81">
        <v>494.47151719999999</v>
      </c>
      <c r="D81">
        <f t="shared" si="0"/>
        <v>-0.52979373887599657</v>
      </c>
      <c r="F81">
        <v>10889.158100000001</v>
      </c>
      <c r="G81">
        <v>1787.658347</v>
      </c>
      <c r="H81" s="2">
        <f t="shared" si="1"/>
        <v>-0.85972675491648076</v>
      </c>
    </row>
    <row r="82" spans="1:8" x14ac:dyDescent="0.25">
      <c r="B82">
        <v>3297.9830240000001</v>
      </c>
      <c r="C82">
        <v>727.84513830000003</v>
      </c>
      <c r="D82">
        <f t="shared" si="0"/>
        <v>0.32709491948398128</v>
      </c>
      <c r="F82">
        <v>13461.79803</v>
      </c>
      <c r="G82">
        <v>2233.8609630000001</v>
      </c>
      <c r="H82" s="2">
        <f t="shared" si="1"/>
        <v>-0.47673232007118016</v>
      </c>
    </row>
    <row r="83" spans="1:8" x14ac:dyDescent="0.25">
      <c r="B83">
        <v>2440.8888200000001</v>
      </c>
      <c r="C83">
        <v>454.97548260000002</v>
      </c>
      <c r="D83">
        <f t="shared" si="0"/>
        <v>-0.14924907903969187</v>
      </c>
      <c r="F83">
        <v>13273.636850000001</v>
      </c>
      <c r="G83">
        <v>2192.510608</v>
      </c>
      <c r="H83" s="2">
        <f t="shared" si="1"/>
        <v>-0.50474427928613508</v>
      </c>
    </row>
    <row r="84" spans="1:8" x14ac:dyDescent="0.25">
      <c r="B84">
        <v>1418.1052010000001</v>
      </c>
      <c r="C84">
        <v>297.51291370000001</v>
      </c>
      <c r="D84">
        <f t="shared" si="0"/>
        <v>-0.71767765599804578</v>
      </c>
      <c r="F84">
        <v>20263.496459999998</v>
      </c>
      <c r="G84">
        <v>3267.9990299999999</v>
      </c>
      <c r="H84" s="2">
        <f t="shared" si="1"/>
        <v>0.53585114169061354</v>
      </c>
    </row>
    <row r="85" spans="1:8" x14ac:dyDescent="0.25">
      <c r="B85">
        <v>305.96089940000002</v>
      </c>
      <c r="C85">
        <v>115.15853490000001</v>
      </c>
      <c r="D85">
        <f t="shared" si="0"/>
        <v>-1.3357698809682919</v>
      </c>
      <c r="F85">
        <v>11287.894759999999</v>
      </c>
      <c r="G85">
        <v>1818.194448</v>
      </c>
      <c r="H85" s="2">
        <f t="shared" si="1"/>
        <v>-0.8003659714784338</v>
      </c>
    </row>
    <row r="86" spans="1:8" x14ac:dyDescent="0.25">
      <c r="B86">
        <v>1726.8538100000001</v>
      </c>
      <c r="C86">
        <v>339.04375640000001</v>
      </c>
      <c r="D86">
        <f t="shared" si="0"/>
        <v>-0.54608561131577638</v>
      </c>
      <c r="F86">
        <v>14336.209269999999</v>
      </c>
      <c r="G86">
        <v>2495.8232659999999</v>
      </c>
      <c r="H86" s="2">
        <f t="shared" si="1"/>
        <v>-0.34655683970919327</v>
      </c>
    </row>
    <row r="87" spans="1:8" x14ac:dyDescent="0.25">
      <c r="B87">
        <v>2251.0923189999999</v>
      </c>
      <c r="C87">
        <v>364.21399459999998</v>
      </c>
      <c r="D87">
        <f t="shared" si="0"/>
        <v>-0.25473156132718433</v>
      </c>
      <c r="F87">
        <v>17601.297470000001</v>
      </c>
      <c r="G87">
        <v>2788.0865220000001</v>
      </c>
      <c r="H87" s="2">
        <f t="shared" si="1"/>
        <v>0.13952385712546286</v>
      </c>
    </row>
    <row r="88" spans="1:8" x14ac:dyDescent="0.25">
      <c r="B88">
        <v>4045.9088700000002</v>
      </c>
      <c r="C88">
        <v>673.81125589999999</v>
      </c>
      <c r="D88">
        <f t="shared" si="0"/>
        <v>0.74276683328313364</v>
      </c>
      <c r="F88">
        <v>25413.245200000001</v>
      </c>
      <c r="G88">
        <v>4463.1721790000001</v>
      </c>
      <c r="H88" s="2">
        <f t="shared" si="1"/>
        <v>1.3025053031502005</v>
      </c>
    </row>
    <row r="89" spans="1:8" x14ac:dyDescent="0.25">
      <c r="B89">
        <v>3387.7002550000002</v>
      </c>
      <c r="C89">
        <v>525.47785039999997</v>
      </c>
      <c r="D89">
        <f t="shared" si="0"/>
        <v>0.37695672504930289</v>
      </c>
      <c r="F89">
        <v>21785.087459999999</v>
      </c>
      <c r="G89">
        <v>3522.2404409999999</v>
      </c>
      <c r="H89" s="2">
        <f t="shared" si="1"/>
        <v>0.76237366367863846</v>
      </c>
    </row>
    <row r="90" spans="1:8" x14ac:dyDescent="0.25">
      <c r="B90">
        <v>4703.986054</v>
      </c>
      <c r="C90">
        <v>771.30448799999999</v>
      </c>
      <c r="D90">
        <f t="shared" si="0"/>
        <v>1.1085038966080407</v>
      </c>
      <c r="F90">
        <v>21274.515340000002</v>
      </c>
      <c r="G90">
        <v>3281.7868079999998</v>
      </c>
      <c r="H90" s="2">
        <f t="shared" si="1"/>
        <v>0.68636369498194416</v>
      </c>
    </row>
    <row r="91" spans="1:8" x14ac:dyDescent="0.25">
      <c r="B91">
        <v>6102.0189200000004</v>
      </c>
      <c r="C91">
        <v>912.2221849</v>
      </c>
      <c r="D91">
        <f t="shared" si="0"/>
        <v>1.8854833258820145</v>
      </c>
      <c r="F91">
        <v>23572.32921</v>
      </c>
      <c r="G91">
        <v>3746.389819</v>
      </c>
      <c r="H91" s="2">
        <f t="shared" si="1"/>
        <v>1.0284441836884779</v>
      </c>
    </row>
    <row r="92" spans="1:8" x14ac:dyDescent="0.25">
      <c r="B92">
        <v>4175.6235450000004</v>
      </c>
      <c r="C92">
        <v>662.50306650000005</v>
      </c>
      <c r="D92">
        <f t="shared" si="0"/>
        <v>0.81485786676385796</v>
      </c>
      <c r="F92">
        <v>22344.597699999998</v>
      </c>
      <c r="G92">
        <v>3647.854429</v>
      </c>
      <c r="H92" s="2">
        <f t="shared" si="1"/>
        <v>0.84566915546514687</v>
      </c>
    </row>
    <row r="93" spans="1:8" x14ac:dyDescent="0.25">
      <c r="B93">
        <v>4254.5614969999997</v>
      </c>
      <c r="C93">
        <v>760.87314930000002</v>
      </c>
      <c r="D93">
        <f t="shared" si="0"/>
        <v>0.85872891327830791</v>
      </c>
      <c r="F93">
        <v>27340.414479999999</v>
      </c>
      <c r="G93">
        <v>4449.0874210000002</v>
      </c>
      <c r="H93" s="2">
        <f t="shared" si="1"/>
        <v>1.5894071352479493</v>
      </c>
    </row>
    <row r="94" spans="1:8" x14ac:dyDescent="0.25">
      <c r="B94">
        <v>6546.9063180000003</v>
      </c>
      <c r="C94">
        <v>1654.8796179999999</v>
      </c>
      <c r="D94">
        <f t="shared" si="0"/>
        <v>2.1327367095440426</v>
      </c>
      <c r="F94">
        <v>31439.665239999998</v>
      </c>
      <c r="G94">
        <v>4812.6792729999997</v>
      </c>
      <c r="H94" s="2">
        <f t="shared" si="1"/>
        <v>2.1996714049607222</v>
      </c>
    </row>
    <row r="95" spans="1:8" x14ac:dyDescent="0.25">
      <c r="A95" t="s">
        <v>22</v>
      </c>
      <c r="B95">
        <f>AVERAGE(B74:B94)</f>
        <v>2709.4353346904763</v>
      </c>
      <c r="E95" t="s">
        <v>22</v>
      </c>
      <c r="F95">
        <f>AVERAGE(F74:F94)</f>
        <v>16664.091564714287</v>
      </c>
      <c r="H95" s="2">
        <f t="shared" si="1"/>
        <v>0</v>
      </c>
    </row>
    <row r="96" spans="1:8" x14ac:dyDescent="0.25">
      <c r="A96" t="s">
        <v>23</v>
      </c>
      <c r="B96">
        <f>_xlfn.STDEV.S(B74:B94)</f>
        <v>1799.3177339409776</v>
      </c>
      <c r="E96" t="s">
        <v>23</v>
      </c>
      <c r="F96">
        <f>_xlfn.STDEV.S(F74:F94)</f>
        <v>6717.1731386622941</v>
      </c>
      <c r="H96" s="2">
        <f t="shared" si="1"/>
        <v>-1.4808191214843232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CB89-73B1-46D4-983D-86330C936C56}">
  <dimension ref="C1:G21"/>
  <sheetViews>
    <sheetView workbookViewId="0">
      <selection activeCell="P7" sqref="P7"/>
    </sheetView>
  </sheetViews>
  <sheetFormatPr defaultRowHeight="15" x14ac:dyDescent="0.25"/>
  <cols>
    <col min="3" max="7" width="11" customWidth="1"/>
  </cols>
  <sheetData>
    <row r="1" spans="3:7" x14ac:dyDescent="0.25">
      <c r="D1" s="8" t="s">
        <v>20</v>
      </c>
      <c r="E1" s="8"/>
      <c r="F1" s="7" t="s">
        <v>28</v>
      </c>
      <c r="G1" s="8"/>
    </row>
    <row r="2" spans="3:7" x14ac:dyDescent="0.25">
      <c r="C2" s="3" t="s">
        <v>25</v>
      </c>
      <c r="D2" s="3" t="s">
        <v>26</v>
      </c>
      <c r="E2" s="3" t="s">
        <v>27</v>
      </c>
      <c r="F2" s="4" t="s">
        <v>26</v>
      </c>
      <c r="G2" s="3" t="s">
        <v>27</v>
      </c>
    </row>
    <row r="3" spans="3:7" x14ac:dyDescent="0.25">
      <c r="C3">
        <v>2002</v>
      </c>
      <c r="D3" s="5">
        <v>3975.8288950000001</v>
      </c>
      <c r="E3">
        <v>0.2</v>
      </c>
      <c r="F3" s="6">
        <v>10967.44434</v>
      </c>
      <c r="G3">
        <v>0.2</v>
      </c>
    </row>
    <row r="4" spans="3:7" x14ac:dyDescent="0.25">
      <c r="C4">
        <v>2003</v>
      </c>
      <c r="D4" s="5">
        <v>1385.6845969999999</v>
      </c>
      <c r="E4">
        <v>0.2</v>
      </c>
      <c r="F4" s="6">
        <v>7471.081972</v>
      </c>
      <c r="G4">
        <v>0.2</v>
      </c>
    </row>
    <row r="5" spans="3:7" x14ac:dyDescent="0.25">
      <c r="C5">
        <v>2004</v>
      </c>
      <c r="D5" s="5">
        <v>622.15180610000004</v>
      </c>
      <c r="E5">
        <v>0.2</v>
      </c>
      <c r="F5" s="6">
        <v>11105.694659999999</v>
      </c>
      <c r="G5">
        <v>0.2</v>
      </c>
    </row>
    <row r="6" spans="3:7" x14ac:dyDescent="0.25">
      <c r="C6">
        <v>2005</v>
      </c>
      <c r="D6" s="5">
        <v>1003.909283</v>
      </c>
      <c r="E6">
        <v>0.2</v>
      </c>
      <c r="F6" s="6">
        <v>12403.553190000001</v>
      </c>
      <c r="G6">
        <v>0.2</v>
      </c>
    </row>
    <row r="7" spans="3:7" x14ac:dyDescent="0.25">
      <c r="C7">
        <v>2006</v>
      </c>
      <c r="D7" s="5">
        <v>1013.6530289999999</v>
      </c>
      <c r="E7">
        <v>0.2</v>
      </c>
      <c r="F7" s="6">
        <v>13573.12781</v>
      </c>
      <c r="G7">
        <v>0.2</v>
      </c>
    </row>
    <row r="8" spans="3:7" x14ac:dyDescent="0.25">
      <c r="C8">
        <v>2007</v>
      </c>
      <c r="D8" s="5">
        <v>1240.7041039999999</v>
      </c>
      <c r="E8">
        <v>0.2</v>
      </c>
      <c r="F8" s="6">
        <v>10472.774520000001</v>
      </c>
      <c r="G8">
        <v>0.2</v>
      </c>
    </row>
    <row r="9" spans="3:7" x14ac:dyDescent="0.25">
      <c r="C9">
        <v>2008</v>
      </c>
      <c r="D9" s="5">
        <v>1242.4527169999999</v>
      </c>
      <c r="E9">
        <v>0.2</v>
      </c>
      <c r="F9" s="6">
        <v>9668.9007970000002</v>
      </c>
      <c r="G9">
        <v>0.2</v>
      </c>
    </row>
    <row r="10" spans="3:7" x14ac:dyDescent="0.25">
      <c r="C10">
        <v>2009</v>
      </c>
      <c r="D10" s="5">
        <v>1756.1680650000001</v>
      </c>
      <c r="E10">
        <v>0.2</v>
      </c>
      <c r="F10" s="6">
        <v>10889.158100000001</v>
      </c>
      <c r="G10">
        <v>0.2</v>
      </c>
    </row>
    <row r="11" spans="3:7" x14ac:dyDescent="0.25">
      <c r="C11">
        <v>2010</v>
      </c>
      <c r="D11" s="5">
        <v>3297.9830240000001</v>
      </c>
      <c r="E11">
        <v>0.2</v>
      </c>
      <c r="F11" s="6">
        <v>13461.79803</v>
      </c>
      <c r="G11">
        <v>0.2</v>
      </c>
    </row>
    <row r="12" spans="3:7" x14ac:dyDescent="0.25">
      <c r="C12">
        <v>2011</v>
      </c>
      <c r="D12" s="5">
        <v>2440.8888200000001</v>
      </c>
      <c r="E12">
        <v>0.2</v>
      </c>
      <c r="F12" s="6">
        <v>13273.636850000001</v>
      </c>
      <c r="G12">
        <v>0.2</v>
      </c>
    </row>
    <row r="13" spans="3:7" x14ac:dyDescent="0.25">
      <c r="C13">
        <v>2012</v>
      </c>
      <c r="D13" s="5">
        <v>1418.1052010000001</v>
      </c>
      <c r="E13">
        <v>0.2</v>
      </c>
      <c r="F13" s="6">
        <v>20263.496459999998</v>
      </c>
      <c r="G13">
        <v>0.2</v>
      </c>
    </row>
    <row r="14" spans="3:7" x14ac:dyDescent="0.25">
      <c r="C14">
        <v>2013</v>
      </c>
      <c r="D14" s="5">
        <v>305.96089940000002</v>
      </c>
      <c r="E14">
        <v>0.2</v>
      </c>
      <c r="F14" s="6">
        <v>11287.894759999999</v>
      </c>
      <c r="G14">
        <v>0.2</v>
      </c>
    </row>
    <row r="15" spans="3:7" x14ac:dyDescent="0.25">
      <c r="C15">
        <v>2014</v>
      </c>
      <c r="D15" s="5">
        <v>1726.8538100000001</v>
      </c>
      <c r="E15">
        <v>0.2</v>
      </c>
      <c r="F15" s="6">
        <v>14336.209269999999</v>
      </c>
      <c r="G15">
        <v>0.2</v>
      </c>
    </row>
    <row r="16" spans="3:7" x14ac:dyDescent="0.25">
      <c r="C16">
        <v>2015</v>
      </c>
      <c r="D16" s="5">
        <v>2251.0923189999999</v>
      </c>
      <c r="E16">
        <v>0.2</v>
      </c>
      <c r="F16" s="6">
        <v>17601.297470000001</v>
      </c>
      <c r="G16">
        <v>0.2</v>
      </c>
    </row>
    <row r="17" spans="3:7" x14ac:dyDescent="0.25">
      <c r="C17">
        <v>2016</v>
      </c>
      <c r="D17" s="5">
        <v>4045.9088700000002</v>
      </c>
      <c r="E17">
        <v>0.2</v>
      </c>
      <c r="F17" s="6">
        <v>25413.245200000001</v>
      </c>
      <c r="G17">
        <v>0.2</v>
      </c>
    </row>
    <row r="18" spans="3:7" x14ac:dyDescent="0.25">
      <c r="C18">
        <v>2017</v>
      </c>
      <c r="D18" s="5">
        <v>3387.7002550000002</v>
      </c>
      <c r="E18">
        <v>0.2</v>
      </c>
      <c r="F18" s="6">
        <v>21785.087459999999</v>
      </c>
      <c r="G18">
        <v>0.2</v>
      </c>
    </row>
    <row r="19" spans="3:7" x14ac:dyDescent="0.25">
      <c r="C19">
        <v>2018</v>
      </c>
      <c r="D19" s="5">
        <v>4703.986054</v>
      </c>
      <c r="E19">
        <v>0.2</v>
      </c>
      <c r="F19" s="6">
        <v>21274.515340000002</v>
      </c>
      <c r="G19">
        <v>0.2</v>
      </c>
    </row>
    <row r="20" spans="3:7" x14ac:dyDescent="0.25">
      <c r="C20">
        <v>2019</v>
      </c>
      <c r="D20" s="5">
        <v>6102.0189200000004</v>
      </c>
      <c r="E20">
        <v>0.2</v>
      </c>
      <c r="F20" s="6">
        <v>23572.32921</v>
      </c>
      <c r="G20">
        <v>0.2</v>
      </c>
    </row>
    <row r="21" spans="3:7" x14ac:dyDescent="0.25">
      <c r="C21">
        <v>2020</v>
      </c>
      <c r="D21" s="5">
        <v>4175.6235450000004</v>
      </c>
      <c r="E21">
        <v>0.2</v>
      </c>
      <c r="F21" s="6">
        <v>22344.597699999998</v>
      </c>
      <c r="G21">
        <v>0.2</v>
      </c>
    </row>
  </sheetData>
  <mergeCells count="2">
    <mergeCell ref="F1:G1"/>
    <mergeCell ref="D1:E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Index_US_Only_Model</vt:lpstr>
      <vt:lpstr>Index_US_CAN_joint</vt:lpstr>
      <vt:lpstr>table for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 Carrano</cp:lastModifiedBy>
  <dcterms:created xsi:type="dcterms:W3CDTF">2025-01-28T19:20:08Z</dcterms:created>
  <dcterms:modified xsi:type="dcterms:W3CDTF">2025-04-02T14:41:15Z</dcterms:modified>
</cp:coreProperties>
</file>